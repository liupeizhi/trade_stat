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eizhi/Downloads/"/>
    </mc:Choice>
  </mc:AlternateContent>
  <xr:revisionPtr revIDLastSave="0" documentId="13_ncr:1_{322064A1-57C5-114B-AEF7-434C6CA9DD29}" xr6:coauthVersionLast="45" xr6:coauthVersionMax="45" xr10:uidLastSave="{00000000-0000-0000-0000-000000000000}"/>
  <bookViews>
    <workbookView xWindow="0" yWindow="500" windowWidth="29040" windowHeight="1600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4" i="1" l="1"/>
  <c r="K141" i="1"/>
  <c r="I141" i="1"/>
  <c r="A141" i="1"/>
  <c r="K92" i="1"/>
  <c r="I92" i="1"/>
  <c r="A92" i="1"/>
  <c r="K91" i="1"/>
  <c r="I91" i="1"/>
  <c r="A91" i="1"/>
  <c r="K125" i="1"/>
  <c r="I125" i="1"/>
  <c r="A125" i="1"/>
  <c r="K122" i="1"/>
  <c r="I122" i="1"/>
  <c r="A122" i="1"/>
  <c r="K124" i="1"/>
  <c r="I124" i="1"/>
  <c r="A124" i="1"/>
  <c r="K134" i="1"/>
  <c r="I134" i="1"/>
  <c r="A134" i="1"/>
  <c r="K119" i="1"/>
  <c r="I119" i="1"/>
  <c r="A119" i="1"/>
  <c r="K107" i="1"/>
  <c r="I107" i="1"/>
  <c r="A107" i="1"/>
  <c r="K90" i="1"/>
  <c r="I90" i="1"/>
  <c r="A90" i="1"/>
  <c r="K136" i="1"/>
  <c r="I136" i="1"/>
  <c r="A136" i="1"/>
  <c r="K89" i="1"/>
  <c r="I89" i="1"/>
  <c r="A89" i="1"/>
  <c r="K118" i="1"/>
  <c r="I118" i="1"/>
  <c r="A118" i="1"/>
  <c r="K138" i="1"/>
  <c r="I138" i="1"/>
  <c r="A138" i="1"/>
  <c r="K137" i="1"/>
  <c r="I137" i="1"/>
  <c r="A137" i="1"/>
  <c r="K117" i="1"/>
  <c r="I117" i="1"/>
  <c r="A117" i="1"/>
  <c r="K132" i="1"/>
  <c r="I132" i="1"/>
  <c r="K135" i="1"/>
  <c r="I135" i="1"/>
  <c r="K131" i="1"/>
  <c r="I131" i="1"/>
  <c r="K101" i="1"/>
  <c r="I101" i="1"/>
  <c r="K106" i="1"/>
  <c r="I106" i="1"/>
  <c r="K98" i="1"/>
  <c r="I98" i="1"/>
  <c r="K129" i="1"/>
  <c r="I129" i="1"/>
  <c r="K140" i="1"/>
  <c r="I140" i="1"/>
  <c r="K97" i="1"/>
  <c r="I97" i="1"/>
  <c r="K128" i="1"/>
  <c r="I128" i="1"/>
  <c r="K83" i="1"/>
  <c r="A83" i="1"/>
  <c r="K28" i="1"/>
  <c r="A28" i="1"/>
  <c r="K29" i="1"/>
  <c r="A29" i="1"/>
  <c r="K82" i="1"/>
  <c r="A82" i="1"/>
  <c r="K81" i="1"/>
  <c r="A81" i="1"/>
  <c r="K33" i="1"/>
  <c r="A33" i="1"/>
  <c r="K32" i="1"/>
  <c r="A32" i="1"/>
  <c r="K80" i="1"/>
  <c r="A80" i="1"/>
  <c r="K38" i="1"/>
  <c r="A38" i="1"/>
  <c r="K79" i="1"/>
  <c r="A79" i="1"/>
  <c r="K37" i="1"/>
  <c r="A37" i="1"/>
  <c r="K36" i="1"/>
  <c r="A36" i="1"/>
  <c r="K39" i="1"/>
  <c r="A39" i="1"/>
  <c r="K44" i="1"/>
  <c r="A44" i="1"/>
  <c r="K43" i="1"/>
  <c r="A43" i="1"/>
  <c r="K42" i="1"/>
  <c r="A42" i="1"/>
  <c r="K41" i="1"/>
  <c r="A41" i="1"/>
  <c r="K40" i="1"/>
  <c r="A40" i="1"/>
  <c r="K45" i="1"/>
  <c r="A45" i="1"/>
  <c r="K49" i="1"/>
  <c r="A49" i="1"/>
  <c r="K48" i="1"/>
  <c r="A48" i="1"/>
  <c r="K47" i="1"/>
  <c r="A47" i="1"/>
  <c r="K46" i="1"/>
  <c r="A46" i="1"/>
  <c r="K50" i="1"/>
  <c r="A50" i="1"/>
  <c r="K53" i="1"/>
  <c r="A53" i="1"/>
  <c r="K78" i="1"/>
  <c r="A78" i="1"/>
  <c r="K52" i="1"/>
  <c r="A52" i="1"/>
  <c r="K71" i="1"/>
  <c r="A71" i="1"/>
  <c r="K70" i="1"/>
  <c r="A70" i="1"/>
  <c r="K58" i="1"/>
  <c r="A58" i="1"/>
  <c r="K57" i="1"/>
  <c r="A57" i="1"/>
  <c r="K68" i="1"/>
  <c r="A68" i="1"/>
  <c r="K63" i="1"/>
  <c r="A63" i="1"/>
  <c r="K67" i="1"/>
  <c r="A67" i="1"/>
  <c r="K62" i="1"/>
  <c r="A62" i="1"/>
  <c r="K61" i="1"/>
  <c r="A61" i="1"/>
  <c r="K60" i="1"/>
  <c r="A60" i="1"/>
  <c r="K66" i="1"/>
  <c r="A66" i="1"/>
  <c r="K65" i="1"/>
  <c r="A65" i="1"/>
  <c r="K64" i="1"/>
  <c r="A64" i="1"/>
  <c r="K72" i="1"/>
  <c r="A72" i="1"/>
  <c r="K75" i="1"/>
  <c r="A75" i="1"/>
  <c r="K69" i="1"/>
  <c r="A69" i="1"/>
  <c r="K74" i="1"/>
  <c r="A74" i="1"/>
  <c r="K73" i="1"/>
  <c r="A73" i="1"/>
  <c r="K16" i="1"/>
  <c r="A16" i="1"/>
  <c r="K14" i="1"/>
</calcChain>
</file>

<file path=xl/sharedStrings.xml><?xml version="1.0" encoding="utf-8"?>
<sst xmlns="http://schemas.openxmlformats.org/spreadsheetml/2006/main" count="365" uniqueCount="37">
  <si>
    <t>证券代码</t>
  </si>
  <si>
    <t>证券名称</t>
  </si>
  <si>
    <t>买卖标志</t>
  </si>
  <si>
    <t>成交日期</t>
  </si>
  <si>
    <t>成交时间</t>
  </si>
  <si>
    <t>成交价格</t>
  </si>
  <si>
    <t>成交数量</t>
  </si>
  <si>
    <t>成交金额</t>
  </si>
  <si>
    <t>成交编号</t>
  </si>
  <si>
    <t>委托编号</t>
  </si>
  <si>
    <t>股东代码</t>
  </si>
  <si>
    <t>A363454232</t>
  </si>
  <si>
    <t>买入</t>
  </si>
  <si>
    <t>中国铝业</t>
  </si>
  <si>
    <t>卖出</t>
  </si>
  <si>
    <t>中国西电</t>
  </si>
  <si>
    <t>东软集团</t>
  </si>
  <si>
    <t>青松建化</t>
  </si>
  <si>
    <t>鲁抗医药</t>
  </si>
  <si>
    <t>复旦复华</t>
  </si>
  <si>
    <t>南  玻Ａ</t>
  </si>
  <si>
    <t>浦发银行</t>
  </si>
  <si>
    <t>000012</t>
  </si>
  <si>
    <t>0149130884</t>
  </si>
  <si>
    <t>爱普股份</t>
  </si>
  <si>
    <t>国电南瑞</t>
  </si>
  <si>
    <t>国电南自</t>
  </si>
  <si>
    <t>中青旅</t>
  </si>
  <si>
    <t>温氏股份</t>
  </si>
  <si>
    <t>蓝思科技</t>
  </si>
  <si>
    <t>光环新网</t>
  </si>
  <si>
    <t>广电运通</t>
  </si>
  <si>
    <t>云南旅游</t>
  </si>
  <si>
    <t>美年健康</t>
  </si>
  <si>
    <t>西安饮食</t>
  </si>
  <si>
    <t>西安旅游</t>
  </si>
  <si>
    <t>中国铝业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</si>
</sst>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.AppleSystemUIFont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" fontId="19" fillId="0" borderId="0" xfId="0" applyNumberFormat="1" applyFont="1" applyAlignment="1">
      <alignment horizontal="right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"/>
  <sheetViews>
    <sheetView tabSelected="1" zoomScale="101" workbookViewId="0">
      <selection activeCell="A13" sqref="A13"/>
    </sheetView>
  </sheetViews>
  <sheetFormatPr baseColWidth="10" defaultColWidth="8.83203125" defaultRowHeight="15"/>
  <cols>
    <col min="1" max="1" width="9" bestFit="1" customWidth="1"/>
    <col min="4" max="4" width="10" bestFit="1" customWidth="1"/>
    <col min="5" max="8" width="9" bestFit="1" customWidth="1"/>
    <col min="9" max="9" width="10" bestFit="1" customWidth="1"/>
    <col min="10" max="10" width="9" bestFit="1" customWidth="1"/>
    <col min="11" max="11" width="11.83203125" bestFit="1" customWidth="1"/>
  </cols>
  <sheetData>
    <row r="1" spans="1:1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4">
        <v>600718</v>
      </c>
      <c r="B2" t="s">
        <v>16</v>
      </c>
      <c r="C2" t="s">
        <v>12</v>
      </c>
      <c r="D2">
        <v>20110610</v>
      </c>
      <c r="E2" s="1">
        <v>0.42431712962962959</v>
      </c>
      <c r="F2">
        <v>10.86</v>
      </c>
      <c r="G2">
        <v>900</v>
      </c>
      <c r="H2">
        <v>9774</v>
      </c>
      <c r="I2">
        <v>1261916</v>
      </c>
      <c r="J2">
        <v>11</v>
      </c>
      <c r="K2" t="s">
        <v>11</v>
      </c>
    </row>
    <row r="3" spans="1:11">
      <c r="A3" s="4">
        <v>600718</v>
      </c>
      <c r="B3" t="s">
        <v>16</v>
      </c>
      <c r="C3" t="s">
        <v>12</v>
      </c>
      <c r="D3">
        <v>20110613</v>
      </c>
      <c r="E3" s="1">
        <v>0.46935185185185185</v>
      </c>
      <c r="F3">
        <v>10.61</v>
      </c>
      <c r="G3">
        <v>900</v>
      </c>
      <c r="H3">
        <v>9549</v>
      </c>
      <c r="I3">
        <v>2109908</v>
      </c>
      <c r="J3">
        <v>23</v>
      </c>
      <c r="K3" t="s">
        <v>11</v>
      </c>
    </row>
    <row r="4" spans="1:11">
      <c r="A4" s="4">
        <v>600718</v>
      </c>
      <c r="B4" t="s">
        <v>16</v>
      </c>
      <c r="C4" t="s">
        <v>14</v>
      </c>
      <c r="D4">
        <v>20110624</v>
      </c>
      <c r="E4" s="1">
        <v>0.39899305555555559</v>
      </c>
      <c r="F4">
        <v>10.83</v>
      </c>
      <c r="G4">
        <v>1800</v>
      </c>
      <c r="H4">
        <v>19494</v>
      </c>
      <c r="I4">
        <v>192979</v>
      </c>
      <c r="J4">
        <v>38</v>
      </c>
      <c r="K4" t="s">
        <v>11</v>
      </c>
    </row>
    <row r="5" spans="1:11">
      <c r="A5" s="4">
        <v>601179</v>
      </c>
      <c r="B5" t="s">
        <v>15</v>
      </c>
      <c r="C5" t="s">
        <v>12</v>
      </c>
      <c r="D5">
        <v>20110627</v>
      </c>
      <c r="E5" s="1">
        <v>0.39879629629629632</v>
      </c>
      <c r="F5">
        <v>5.94</v>
      </c>
      <c r="G5">
        <v>3300</v>
      </c>
      <c r="H5">
        <v>19602</v>
      </c>
      <c r="I5">
        <v>266508</v>
      </c>
      <c r="J5">
        <v>46</v>
      </c>
      <c r="K5" t="s">
        <v>11</v>
      </c>
    </row>
    <row r="6" spans="1:11">
      <c r="A6" s="4">
        <v>601179</v>
      </c>
      <c r="B6" t="s">
        <v>15</v>
      </c>
      <c r="C6" t="s">
        <v>14</v>
      </c>
      <c r="D6">
        <v>20110629</v>
      </c>
      <c r="E6" s="1">
        <v>0.47916666666666669</v>
      </c>
      <c r="F6">
        <v>6.06</v>
      </c>
      <c r="G6">
        <v>1500</v>
      </c>
      <c r="H6">
        <v>9090</v>
      </c>
      <c r="I6">
        <v>2785742</v>
      </c>
      <c r="J6">
        <v>50</v>
      </c>
      <c r="K6" t="s">
        <v>11</v>
      </c>
    </row>
    <row r="7" spans="1:11">
      <c r="A7" s="4">
        <v>600425</v>
      </c>
      <c r="B7" t="s">
        <v>17</v>
      </c>
      <c r="C7" t="s">
        <v>12</v>
      </c>
      <c r="D7">
        <v>20110629</v>
      </c>
      <c r="E7" s="1">
        <v>0.57520833333333332</v>
      </c>
      <c r="F7">
        <v>20.87</v>
      </c>
      <c r="G7">
        <v>400</v>
      </c>
      <c r="H7">
        <v>8348</v>
      </c>
      <c r="I7">
        <v>3627092</v>
      </c>
      <c r="J7">
        <v>53</v>
      </c>
      <c r="K7" t="s">
        <v>11</v>
      </c>
    </row>
    <row r="8" spans="1:11">
      <c r="A8" s="4">
        <v>601179</v>
      </c>
      <c r="B8" t="s">
        <v>15</v>
      </c>
      <c r="C8" t="s">
        <v>14</v>
      </c>
      <c r="D8">
        <v>20110706</v>
      </c>
      <c r="E8" s="1">
        <v>0.40780092592592593</v>
      </c>
      <c r="F8">
        <v>6.18</v>
      </c>
      <c r="G8">
        <v>1800</v>
      </c>
      <c r="H8">
        <v>11124</v>
      </c>
      <c r="I8">
        <v>878163</v>
      </c>
      <c r="J8">
        <v>61</v>
      </c>
      <c r="K8" t="s">
        <v>11</v>
      </c>
    </row>
    <row r="9" spans="1:11">
      <c r="A9" s="4">
        <v>601600</v>
      </c>
      <c r="B9" t="s">
        <v>13</v>
      </c>
      <c r="C9" t="s">
        <v>12</v>
      </c>
      <c r="D9">
        <v>20110707</v>
      </c>
      <c r="E9" s="1">
        <v>0.58013888888888887</v>
      </c>
      <c r="F9">
        <v>10.99</v>
      </c>
      <c r="G9">
        <v>1900</v>
      </c>
      <c r="H9">
        <v>20881</v>
      </c>
      <c r="I9">
        <v>5067788</v>
      </c>
      <c r="J9">
        <v>73</v>
      </c>
      <c r="K9" t="s">
        <v>11</v>
      </c>
    </row>
    <row r="10" spans="1:11">
      <c r="A10" s="4">
        <v>601600</v>
      </c>
      <c r="B10" t="s">
        <v>36</v>
      </c>
      <c r="C10" t="s">
        <v>12</v>
      </c>
      <c r="D10">
        <v>20110721</v>
      </c>
      <c r="E10" s="1">
        <v>0.5818402777777778</v>
      </c>
      <c r="F10">
        <v>10.69</v>
      </c>
      <c r="G10">
        <v>800</v>
      </c>
      <c r="H10">
        <v>8552</v>
      </c>
      <c r="I10">
        <v>3759447</v>
      </c>
      <c r="J10">
        <v>84</v>
      </c>
      <c r="K10" t="s">
        <v>11</v>
      </c>
    </row>
    <row r="11" spans="1:11">
      <c r="A11" s="4">
        <v>600425</v>
      </c>
      <c r="B11" t="s">
        <v>17</v>
      </c>
      <c r="C11" t="s">
        <v>14</v>
      </c>
      <c r="D11">
        <v>20110721</v>
      </c>
      <c r="E11" s="1">
        <v>0.57606481481481475</v>
      </c>
      <c r="F11">
        <v>21.02</v>
      </c>
      <c r="G11">
        <v>400</v>
      </c>
      <c r="H11">
        <v>8408</v>
      </c>
      <c r="I11">
        <v>3606222</v>
      </c>
      <c r="J11">
        <v>81</v>
      </c>
      <c r="K11" t="s">
        <v>11</v>
      </c>
    </row>
    <row r="12" spans="1:11">
      <c r="A12" s="4">
        <v>600624</v>
      </c>
      <c r="B12" t="s">
        <v>19</v>
      </c>
      <c r="C12" t="s">
        <v>12</v>
      </c>
      <c r="D12">
        <v>20120227</v>
      </c>
      <c r="E12" s="1">
        <v>0.54171296296296301</v>
      </c>
      <c r="F12">
        <v>6.2</v>
      </c>
      <c r="G12">
        <v>3200</v>
      </c>
      <c r="H12">
        <v>19840</v>
      </c>
      <c r="I12">
        <v>3740781</v>
      </c>
      <c r="J12">
        <v>2</v>
      </c>
      <c r="K12" t="s">
        <v>11</v>
      </c>
    </row>
    <row r="13" spans="1:11">
      <c r="A13" s="4">
        <v>600624</v>
      </c>
      <c r="B13" t="s">
        <v>19</v>
      </c>
      <c r="C13" t="s">
        <v>14</v>
      </c>
      <c r="D13">
        <v>20120229</v>
      </c>
      <c r="E13" s="1">
        <v>0.62011574074074072</v>
      </c>
      <c r="F13">
        <v>6.05</v>
      </c>
      <c r="G13">
        <v>3200</v>
      </c>
      <c r="H13">
        <v>19360</v>
      </c>
      <c r="I13">
        <v>4892636</v>
      </c>
      <c r="J13">
        <v>1</v>
      </c>
      <c r="K13" t="s">
        <v>11</v>
      </c>
    </row>
    <row r="14" spans="1:11">
      <c r="A14" s="4" t="str">
        <f>"000012"</f>
        <v>000012</v>
      </c>
      <c r="B14" t="s">
        <v>20</v>
      </c>
      <c r="C14" t="s">
        <v>12</v>
      </c>
      <c r="D14">
        <v>20120301</v>
      </c>
      <c r="E14" s="1">
        <v>0.41673611111111114</v>
      </c>
      <c r="F14">
        <v>10.88</v>
      </c>
      <c r="G14">
        <v>1800</v>
      </c>
      <c r="H14">
        <v>19584</v>
      </c>
      <c r="I14">
        <v>3069075</v>
      </c>
      <c r="J14">
        <v>7</v>
      </c>
      <c r="K14" t="str">
        <f>"0149130884"</f>
        <v>0149130884</v>
      </c>
    </row>
    <row r="15" spans="1:11">
      <c r="A15" s="4">
        <v>601600</v>
      </c>
      <c r="B15" t="s">
        <v>13</v>
      </c>
      <c r="C15" t="s">
        <v>14</v>
      </c>
      <c r="D15">
        <v>20120321</v>
      </c>
      <c r="E15" s="1">
        <v>0.54173611111111108</v>
      </c>
      <c r="F15">
        <v>7.45</v>
      </c>
      <c r="G15">
        <v>1000</v>
      </c>
      <c r="H15">
        <v>7450</v>
      </c>
      <c r="I15">
        <v>3095975</v>
      </c>
      <c r="J15">
        <v>13</v>
      </c>
      <c r="K15" t="s">
        <v>11</v>
      </c>
    </row>
    <row r="16" spans="1:11">
      <c r="A16" s="4" t="str">
        <f>"000012"</f>
        <v>000012</v>
      </c>
      <c r="B16" t="s">
        <v>20</v>
      </c>
      <c r="C16" t="s">
        <v>12</v>
      </c>
      <c r="D16">
        <v>20120321</v>
      </c>
      <c r="E16" s="1">
        <v>0.59440972222222221</v>
      </c>
      <c r="F16">
        <v>10.3</v>
      </c>
      <c r="G16">
        <v>700</v>
      </c>
      <c r="H16">
        <v>7210</v>
      </c>
      <c r="I16">
        <v>15300731</v>
      </c>
      <c r="J16">
        <v>17</v>
      </c>
      <c r="K16" t="str">
        <f>"0149130884"</f>
        <v>0149130884</v>
      </c>
    </row>
    <row r="17" spans="1:11">
      <c r="A17" s="4">
        <v>600718</v>
      </c>
      <c r="B17" t="s">
        <v>16</v>
      </c>
      <c r="C17" t="s">
        <v>12</v>
      </c>
      <c r="D17">
        <v>20120613</v>
      </c>
      <c r="E17" s="1">
        <v>0.54387731481481483</v>
      </c>
      <c r="F17">
        <v>7.95</v>
      </c>
      <c r="G17">
        <v>2100</v>
      </c>
      <c r="H17">
        <v>16695</v>
      </c>
      <c r="I17">
        <v>2022802</v>
      </c>
      <c r="J17">
        <v>2</v>
      </c>
      <c r="K17" t="s">
        <v>11</v>
      </c>
    </row>
    <row r="18" spans="1:11">
      <c r="A18" s="4">
        <v>600718</v>
      </c>
      <c r="B18" t="s">
        <v>16</v>
      </c>
      <c r="C18" t="s">
        <v>14</v>
      </c>
      <c r="D18">
        <v>20120615</v>
      </c>
      <c r="E18" s="1">
        <v>0.42010416666666667</v>
      </c>
      <c r="F18">
        <v>8.5</v>
      </c>
      <c r="G18">
        <v>2100</v>
      </c>
      <c r="H18">
        <v>17850</v>
      </c>
      <c r="I18">
        <v>685331</v>
      </c>
      <c r="J18">
        <v>11</v>
      </c>
      <c r="K18" t="s">
        <v>11</v>
      </c>
    </row>
    <row r="19" spans="1:11">
      <c r="A19" s="4">
        <v>600789</v>
      </c>
      <c r="B19" t="s">
        <v>18</v>
      </c>
      <c r="C19" t="s">
        <v>12</v>
      </c>
      <c r="D19">
        <v>20120620</v>
      </c>
      <c r="E19" s="1">
        <v>0.39240740740740737</v>
      </c>
      <c r="F19">
        <v>5.35</v>
      </c>
      <c r="G19">
        <v>3300</v>
      </c>
      <c r="H19">
        <v>17655</v>
      </c>
      <c r="I19">
        <v>11039</v>
      </c>
      <c r="J19">
        <v>26</v>
      </c>
      <c r="K19" t="s">
        <v>11</v>
      </c>
    </row>
    <row r="20" spans="1:11">
      <c r="A20" s="4">
        <v>600789</v>
      </c>
      <c r="B20" t="s">
        <v>18</v>
      </c>
      <c r="C20" t="s">
        <v>12</v>
      </c>
      <c r="D20">
        <v>20120621</v>
      </c>
      <c r="E20" s="1">
        <v>0.56998842592592591</v>
      </c>
      <c r="F20">
        <v>5.07</v>
      </c>
      <c r="G20">
        <v>3300</v>
      </c>
      <c r="H20">
        <v>16731</v>
      </c>
      <c r="I20">
        <v>2475368</v>
      </c>
      <c r="J20">
        <v>53</v>
      </c>
      <c r="K20" t="s">
        <v>11</v>
      </c>
    </row>
    <row r="21" spans="1:11">
      <c r="A21" s="4">
        <v>600789</v>
      </c>
      <c r="B21" t="s">
        <v>18</v>
      </c>
      <c r="C21" t="s">
        <v>14</v>
      </c>
      <c r="D21">
        <v>20120621</v>
      </c>
      <c r="E21" s="1">
        <v>0.41725694444444444</v>
      </c>
      <c r="F21">
        <v>5.15</v>
      </c>
      <c r="G21">
        <v>3300</v>
      </c>
      <c r="H21">
        <v>16995</v>
      </c>
      <c r="I21">
        <v>741110</v>
      </c>
      <c r="J21">
        <v>35</v>
      </c>
      <c r="K21" t="s">
        <v>11</v>
      </c>
    </row>
    <row r="22" spans="1:11">
      <c r="A22" s="4">
        <v>600789</v>
      </c>
      <c r="B22" t="s">
        <v>18</v>
      </c>
      <c r="C22" t="s">
        <v>14</v>
      </c>
      <c r="D22">
        <v>20120625</v>
      </c>
      <c r="E22" s="1">
        <v>0.57265046296296296</v>
      </c>
      <c r="F22">
        <v>5.03</v>
      </c>
      <c r="G22">
        <v>2000</v>
      </c>
      <c r="H22">
        <v>10060</v>
      </c>
      <c r="I22">
        <v>2254041</v>
      </c>
      <c r="J22">
        <v>61</v>
      </c>
      <c r="K22" t="s">
        <v>11</v>
      </c>
    </row>
    <row r="23" spans="1:11">
      <c r="A23" s="4">
        <v>600789</v>
      </c>
      <c r="B23" t="s">
        <v>18</v>
      </c>
      <c r="C23" t="s">
        <v>12</v>
      </c>
      <c r="D23">
        <v>20120626</v>
      </c>
      <c r="E23" s="1">
        <v>0.43026620370370372</v>
      </c>
      <c r="F23">
        <v>4.95</v>
      </c>
      <c r="G23">
        <v>2100</v>
      </c>
      <c r="H23">
        <v>10395</v>
      </c>
      <c r="I23">
        <v>943373</v>
      </c>
      <c r="J23">
        <v>68</v>
      </c>
      <c r="K23" t="s">
        <v>11</v>
      </c>
    </row>
    <row r="24" spans="1:11">
      <c r="A24" s="4">
        <v>600789</v>
      </c>
      <c r="B24" t="s">
        <v>18</v>
      </c>
      <c r="C24" t="s">
        <v>12</v>
      </c>
      <c r="D24">
        <v>20120705</v>
      </c>
      <c r="E24" s="1">
        <v>0.59743055555555558</v>
      </c>
      <c r="F24">
        <v>4.7699999999999996</v>
      </c>
      <c r="G24">
        <v>3300</v>
      </c>
      <c r="H24">
        <v>15741</v>
      </c>
      <c r="I24">
        <v>2801826</v>
      </c>
      <c r="J24">
        <v>82</v>
      </c>
      <c r="K24" t="s">
        <v>11</v>
      </c>
    </row>
    <row r="25" spans="1:11">
      <c r="A25" s="4">
        <v>600789</v>
      </c>
      <c r="B25" t="s">
        <v>18</v>
      </c>
      <c r="C25" t="s">
        <v>14</v>
      </c>
      <c r="D25">
        <v>20120705</v>
      </c>
      <c r="E25" s="1">
        <v>0.57032407407407404</v>
      </c>
      <c r="F25">
        <v>4.7</v>
      </c>
      <c r="G25">
        <v>3400</v>
      </c>
      <c r="H25">
        <v>15980</v>
      </c>
      <c r="I25">
        <v>2273695</v>
      </c>
      <c r="J25">
        <v>73</v>
      </c>
      <c r="K25" t="s">
        <v>11</v>
      </c>
    </row>
    <row r="26" spans="1:11">
      <c r="A26" s="4">
        <v>600789</v>
      </c>
      <c r="B26" t="s">
        <v>18</v>
      </c>
      <c r="C26" t="s">
        <v>14</v>
      </c>
      <c r="D26">
        <v>20120712</v>
      </c>
      <c r="E26" s="1">
        <v>0.44837962962962963</v>
      </c>
      <c r="F26">
        <v>4.78</v>
      </c>
      <c r="G26">
        <v>3300</v>
      </c>
      <c r="H26">
        <v>15774</v>
      </c>
      <c r="I26">
        <v>1436692</v>
      </c>
      <c r="J26">
        <v>1</v>
      </c>
      <c r="K26" t="s">
        <v>11</v>
      </c>
    </row>
    <row r="27" spans="1:11">
      <c r="A27" s="4">
        <v>600789</v>
      </c>
      <c r="B27" t="s">
        <v>18</v>
      </c>
      <c r="C27" t="s">
        <v>12</v>
      </c>
      <c r="D27">
        <v>20120713</v>
      </c>
      <c r="E27" s="1">
        <v>0.39240740740740737</v>
      </c>
      <c r="F27">
        <v>4.79</v>
      </c>
      <c r="G27">
        <v>3300</v>
      </c>
      <c r="H27">
        <v>15807</v>
      </c>
      <c r="I27">
        <v>15274</v>
      </c>
      <c r="J27">
        <v>6</v>
      </c>
      <c r="K27" t="s">
        <v>11</v>
      </c>
    </row>
    <row r="28" spans="1:11">
      <c r="A28" s="4" t="str">
        <f>"000012"</f>
        <v>000012</v>
      </c>
      <c r="B28" t="s">
        <v>20</v>
      </c>
      <c r="C28" t="s">
        <v>12</v>
      </c>
      <c r="D28">
        <v>20130311</v>
      </c>
      <c r="E28" s="1">
        <v>0.44557870370370373</v>
      </c>
      <c r="F28">
        <v>7.95</v>
      </c>
      <c r="G28">
        <v>1200</v>
      </c>
      <c r="H28">
        <v>9540</v>
      </c>
      <c r="I28">
        <v>6710462</v>
      </c>
      <c r="J28">
        <v>2</v>
      </c>
      <c r="K28" t="str">
        <f>"0149130884"</f>
        <v>0149130884</v>
      </c>
    </row>
    <row r="29" spans="1:11">
      <c r="A29" s="4" t="str">
        <f>"000012"</f>
        <v>000012</v>
      </c>
      <c r="B29" t="s">
        <v>20</v>
      </c>
      <c r="C29" t="s">
        <v>12</v>
      </c>
      <c r="D29">
        <v>20130315</v>
      </c>
      <c r="E29" s="1">
        <v>0.45498842592592598</v>
      </c>
      <c r="F29">
        <v>7.56</v>
      </c>
      <c r="G29">
        <v>1400</v>
      </c>
      <c r="H29">
        <v>10584</v>
      </c>
      <c r="I29">
        <v>6834767</v>
      </c>
      <c r="J29">
        <v>2</v>
      </c>
      <c r="K29" t="str">
        <f>"0149130884"</f>
        <v>0149130884</v>
      </c>
    </row>
    <row r="30" spans="1:11">
      <c r="A30" s="4">
        <v>600789</v>
      </c>
      <c r="B30" t="s">
        <v>18</v>
      </c>
      <c r="C30" t="s">
        <v>14</v>
      </c>
      <c r="D30">
        <v>20130408</v>
      </c>
      <c r="E30" s="1">
        <v>0.40462962962962962</v>
      </c>
      <c r="F30">
        <v>5.7</v>
      </c>
      <c r="G30">
        <v>3300</v>
      </c>
      <c r="H30">
        <v>18810</v>
      </c>
      <c r="I30">
        <v>717595</v>
      </c>
      <c r="J30">
        <v>150008</v>
      </c>
      <c r="K30" t="s">
        <v>11</v>
      </c>
    </row>
    <row r="31" spans="1:11">
      <c r="A31" s="4">
        <v>600718</v>
      </c>
      <c r="B31" t="s">
        <v>16</v>
      </c>
      <c r="C31" t="s">
        <v>12</v>
      </c>
      <c r="D31">
        <v>20130418</v>
      </c>
      <c r="E31" s="1">
        <v>0.40434027777777781</v>
      </c>
      <c r="F31">
        <v>8.34</v>
      </c>
      <c r="G31">
        <v>2200</v>
      </c>
      <c r="H31">
        <v>18348</v>
      </c>
      <c r="I31">
        <v>326012</v>
      </c>
      <c r="J31">
        <v>150023</v>
      </c>
      <c r="K31" t="s">
        <v>11</v>
      </c>
    </row>
    <row r="32" spans="1:11">
      <c r="A32" s="4" t="str">
        <f>"000012"</f>
        <v>000012</v>
      </c>
      <c r="B32" t="s">
        <v>20</v>
      </c>
      <c r="C32" t="s">
        <v>12</v>
      </c>
      <c r="D32">
        <v>20130418</v>
      </c>
      <c r="E32" s="1">
        <v>0.56655092592592593</v>
      </c>
      <c r="F32">
        <v>7.45</v>
      </c>
      <c r="G32">
        <v>5100</v>
      </c>
      <c r="H32">
        <v>37995</v>
      </c>
      <c r="I32">
        <v>9234518</v>
      </c>
      <c r="J32">
        <v>150030</v>
      </c>
      <c r="K32" t="str">
        <f>"0149130884"</f>
        <v>0149130884</v>
      </c>
    </row>
    <row r="33" spans="1:11">
      <c r="A33" s="4" t="str">
        <f>"000012"</f>
        <v>000012</v>
      </c>
      <c r="B33" t="s">
        <v>20</v>
      </c>
      <c r="C33" t="s">
        <v>14</v>
      </c>
      <c r="D33">
        <v>20130418</v>
      </c>
      <c r="E33" s="1">
        <v>0.46628472222222223</v>
      </c>
      <c r="F33">
        <v>7.4</v>
      </c>
      <c r="G33">
        <v>5100</v>
      </c>
      <c r="H33">
        <v>37740</v>
      </c>
      <c r="I33">
        <v>7189991</v>
      </c>
      <c r="J33">
        <v>150027</v>
      </c>
      <c r="K33" t="str">
        <f>"0149130884"</f>
        <v>0149130884</v>
      </c>
    </row>
    <row r="34" spans="1:11">
      <c r="A34" s="4">
        <v>600718</v>
      </c>
      <c r="B34" t="s">
        <v>16</v>
      </c>
      <c r="C34" t="s">
        <v>14</v>
      </c>
      <c r="D34">
        <v>20130520</v>
      </c>
      <c r="E34" s="1">
        <v>0.47434027777777782</v>
      </c>
      <c r="F34">
        <v>8.41</v>
      </c>
      <c r="G34">
        <v>2200</v>
      </c>
      <c r="H34">
        <v>18502</v>
      </c>
      <c r="I34">
        <v>3442969</v>
      </c>
      <c r="J34">
        <v>150036</v>
      </c>
      <c r="K34" t="s">
        <v>11</v>
      </c>
    </row>
    <row r="35" spans="1:11">
      <c r="A35" s="4">
        <v>601600</v>
      </c>
      <c r="B35" t="s">
        <v>13</v>
      </c>
      <c r="C35" t="s">
        <v>14</v>
      </c>
      <c r="D35">
        <v>20130529</v>
      </c>
      <c r="E35" s="1">
        <v>0.5663541666666666</v>
      </c>
      <c r="F35">
        <v>4.1399999999999997</v>
      </c>
      <c r="G35">
        <v>1700</v>
      </c>
      <c r="H35">
        <v>7038</v>
      </c>
      <c r="I35">
        <v>3801880</v>
      </c>
      <c r="J35">
        <v>4</v>
      </c>
      <c r="K35" t="s">
        <v>11</v>
      </c>
    </row>
    <row r="36" spans="1:11">
      <c r="A36" s="4" t="str">
        <f t="shared" ref="A36:A50" si="0">"000012"</f>
        <v>000012</v>
      </c>
      <c r="B36" t="s">
        <v>20</v>
      </c>
      <c r="C36" t="s">
        <v>12</v>
      </c>
      <c r="D36">
        <v>20130529</v>
      </c>
      <c r="E36" s="1">
        <v>0.58303240740740747</v>
      </c>
      <c r="F36">
        <v>11</v>
      </c>
      <c r="G36">
        <v>400</v>
      </c>
      <c r="H36">
        <v>4400</v>
      </c>
      <c r="I36">
        <v>16445603</v>
      </c>
      <c r="J36">
        <v>10</v>
      </c>
      <c r="K36" t="str">
        <f t="shared" ref="K36:K50" si="1">"0149130884"</f>
        <v>0149130884</v>
      </c>
    </row>
    <row r="37" spans="1:11">
      <c r="A37" s="4" t="str">
        <f t="shared" si="0"/>
        <v>000012</v>
      </c>
      <c r="B37" t="s">
        <v>20</v>
      </c>
      <c r="C37" t="s">
        <v>12</v>
      </c>
      <c r="D37">
        <v>20130529</v>
      </c>
      <c r="E37" s="1">
        <v>0.57688657407407407</v>
      </c>
      <c r="F37">
        <v>11.08</v>
      </c>
      <c r="G37">
        <v>200</v>
      </c>
      <c r="H37">
        <v>2216</v>
      </c>
      <c r="I37">
        <v>15797963</v>
      </c>
      <c r="J37">
        <v>7</v>
      </c>
      <c r="K37" t="str">
        <f t="shared" si="1"/>
        <v>0149130884</v>
      </c>
    </row>
    <row r="38" spans="1:11">
      <c r="A38" s="4" t="str">
        <f t="shared" si="0"/>
        <v>000012</v>
      </c>
      <c r="B38" t="s">
        <v>20</v>
      </c>
      <c r="C38" t="s">
        <v>12</v>
      </c>
      <c r="D38">
        <v>20130529</v>
      </c>
      <c r="E38" s="1">
        <v>0.44673611111111106</v>
      </c>
      <c r="F38">
        <v>10.86</v>
      </c>
      <c r="G38">
        <v>1700</v>
      </c>
      <c r="H38">
        <v>18462</v>
      </c>
      <c r="I38">
        <v>9063403</v>
      </c>
      <c r="J38">
        <v>1</v>
      </c>
      <c r="K38" t="str">
        <f t="shared" si="1"/>
        <v>0149130884</v>
      </c>
    </row>
    <row r="39" spans="1:11">
      <c r="A39" s="4" t="str">
        <f t="shared" si="0"/>
        <v>000012</v>
      </c>
      <c r="B39" t="s">
        <v>20</v>
      </c>
      <c r="C39" t="s">
        <v>12</v>
      </c>
      <c r="D39">
        <v>20130530</v>
      </c>
      <c r="E39" s="1">
        <v>0.44616898148148149</v>
      </c>
      <c r="F39">
        <v>10.96</v>
      </c>
      <c r="G39">
        <v>100</v>
      </c>
      <c r="H39">
        <v>1096</v>
      </c>
      <c r="I39">
        <v>8739722</v>
      </c>
      <c r="J39">
        <v>19</v>
      </c>
      <c r="K39" t="str">
        <f t="shared" si="1"/>
        <v>0149130884</v>
      </c>
    </row>
    <row r="40" spans="1:11">
      <c r="A40" s="4" t="str">
        <f t="shared" si="0"/>
        <v>000012</v>
      </c>
      <c r="B40" t="s">
        <v>20</v>
      </c>
      <c r="C40" t="s">
        <v>12</v>
      </c>
      <c r="D40">
        <v>20130614</v>
      </c>
      <c r="E40" s="1">
        <v>0.62178240740740742</v>
      </c>
      <c r="F40">
        <v>11.2</v>
      </c>
      <c r="G40">
        <v>2500</v>
      </c>
      <c r="H40">
        <v>28000</v>
      </c>
      <c r="I40">
        <v>16581693</v>
      </c>
      <c r="J40">
        <v>43</v>
      </c>
      <c r="K40" t="str">
        <f t="shared" si="1"/>
        <v>0149130884</v>
      </c>
    </row>
    <row r="41" spans="1:11">
      <c r="A41" s="4" t="str">
        <f t="shared" si="0"/>
        <v>000012</v>
      </c>
      <c r="B41" t="s">
        <v>20</v>
      </c>
      <c r="C41" t="s">
        <v>12</v>
      </c>
      <c r="D41">
        <v>20130614</v>
      </c>
      <c r="E41" s="1">
        <v>0.61069444444444443</v>
      </c>
      <c r="F41">
        <v>11.25</v>
      </c>
      <c r="G41">
        <v>1000</v>
      </c>
      <c r="H41">
        <v>11250</v>
      </c>
      <c r="I41">
        <v>15188173</v>
      </c>
      <c r="J41">
        <v>41</v>
      </c>
      <c r="K41" t="str">
        <f t="shared" si="1"/>
        <v>0149130884</v>
      </c>
    </row>
    <row r="42" spans="1:11">
      <c r="A42" s="4" t="str">
        <f t="shared" si="0"/>
        <v>000012</v>
      </c>
      <c r="B42" t="s">
        <v>20</v>
      </c>
      <c r="C42" t="s">
        <v>14</v>
      </c>
      <c r="D42">
        <v>20130614</v>
      </c>
      <c r="E42" s="1">
        <v>0.57745370370370364</v>
      </c>
      <c r="F42">
        <v>11.45</v>
      </c>
      <c r="G42">
        <v>1500</v>
      </c>
      <c r="H42">
        <v>17175</v>
      </c>
      <c r="I42">
        <v>11959186</v>
      </c>
      <c r="J42">
        <v>28</v>
      </c>
      <c r="K42" t="str">
        <f t="shared" si="1"/>
        <v>0149130884</v>
      </c>
    </row>
    <row r="43" spans="1:11">
      <c r="A43" s="4" t="str">
        <f t="shared" si="0"/>
        <v>000012</v>
      </c>
      <c r="B43" t="s">
        <v>20</v>
      </c>
      <c r="C43" t="s">
        <v>14</v>
      </c>
      <c r="D43">
        <v>20130614</v>
      </c>
      <c r="E43" s="1">
        <v>0.57710648148148147</v>
      </c>
      <c r="F43">
        <v>11.4</v>
      </c>
      <c r="G43">
        <v>1000</v>
      </c>
      <c r="H43">
        <v>11400</v>
      </c>
      <c r="I43">
        <v>11919604</v>
      </c>
      <c r="J43">
        <v>30</v>
      </c>
      <c r="K43" t="str">
        <f t="shared" si="1"/>
        <v>0149130884</v>
      </c>
    </row>
    <row r="44" spans="1:11">
      <c r="A44" s="4" t="str">
        <f t="shared" si="0"/>
        <v>000012</v>
      </c>
      <c r="B44" t="s">
        <v>20</v>
      </c>
      <c r="C44" t="s">
        <v>14</v>
      </c>
      <c r="D44">
        <v>20130614</v>
      </c>
      <c r="E44" s="1">
        <v>0.57650462962962956</v>
      </c>
      <c r="F44">
        <v>11.38</v>
      </c>
      <c r="G44">
        <v>1000</v>
      </c>
      <c r="H44">
        <v>11380</v>
      </c>
      <c r="I44">
        <v>11864224</v>
      </c>
      <c r="J44">
        <v>32</v>
      </c>
      <c r="K44" t="str">
        <f t="shared" si="1"/>
        <v>0149130884</v>
      </c>
    </row>
    <row r="45" spans="1:11">
      <c r="A45" s="4" t="str">
        <f t="shared" si="0"/>
        <v>000012</v>
      </c>
      <c r="B45" t="s">
        <v>20</v>
      </c>
      <c r="C45" t="s">
        <v>14</v>
      </c>
      <c r="D45">
        <v>20130618</v>
      </c>
      <c r="E45" s="1">
        <v>0.40331018518518519</v>
      </c>
      <c r="F45">
        <v>11.56</v>
      </c>
      <c r="G45">
        <v>2500</v>
      </c>
      <c r="H45">
        <v>28900</v>
      </c>
      <c r="I45">
        <v>1596048</v>
      </c>
      <c r="J45">
        <v>61</v>
      </c>
      <c r="K45" t="str">
        <f t="shared" si="1"/>
        <v>0149130884</v>
      </c>
    </row>
    <row r="46" spans="1:11">
      <c r="A46" s="4" t="str">
        <f t="shared" si="0"/>
        <v>000012</v>
      </c>
      <c r="B46" t="s">
        <v>20</v>
      </c>
      <c r="C46" t="s">
        <v>14</v>
      </c>
      <c r="D46">
        <v>20130619</v>
      </c>
      <c r="E46" s="1">
        <v>0.4614583333333333</v>
      </c>
      <c r="F46">
        <v>11.5</v>
      </c>
      <c r="G46">
        <v>3000</v>
      </c>
      <c r="H46">
        <v>34500</v>
      </c>
      <c r="I46">
        <v>8431560</v>
      </c>
      <c r="J46">
        <v>83</v>
      </c>
      <c r="K46" t="str">
        <f t="shared" si="1"/>
        <v>0149130884</v>
      </c>
    </row>
    <row r="47" spans="1:11">
      <c r="A47" s="4" t="str">
        <f t="shared" si="0"/>
        <v>000012</v>
      </c>
      <c r="B47" t="s">
        <v>20</v>
      </c>
      <c r="C47" t="s">
        <v>14</v>
      </c>
      <c r="D47">
        <v>20130619</v>
      </c>
      <c r="E47" s="1">
        <v>0.46061342592592597</v>
      </c>
      <c r="F47">
        <v>11.45</v>
      </c>
      <c r="G47">
        <v>700</v>
      </c>
      <c r="H47">
        <v>8015</v>
      </c>
      <c r="I47">
        <v>8322322</v>
      </c>
      <c r="J47">
        <v>85</v>
      </c>
      <c r="K47" t="str">
        <f t="shared" si="1"/>
        <v>0149130884</v>
      </c>
    </row>
    <row r="48" spans="1:11">
      <c r="A48" s="4" t="str">
        <f t="shared" si="0"/>
        <v>000012</v>
      </c>
      <c r="B48" t="s">
        <v>20</v>
      </c>
      <c r="C48" t="s">
        <v>14</v>
      </c>
      <c r="D48">
        <v>20130619</v>
      </c>
      <c r="E48" s="1">
        <v>0.44160879629629629</v>
      </c>
      <c r="F48">
        <v>11.4</v>
      </c>
      <c r="G48">
        <v>1300</v>
      </c>
      <c r="H48">
        <v>14820</v>
      </c>
      <c r="I48">
        <v>6452436</v>
      </c>
      <c r="J48">
        <v>79</v>
      </c>
      <c r="K48" t="str">
        <f t="shared" si="1"/>
        <v>0149130884</v>
      </c>
    </row>
    <row r="49" spans="1:11">
      <c r="A49" s="4" t="str">
        <f t="shared" si="0"/>
        <v>000012</v>
      </c>
      <c r="B49" t="s">
        <v>20</v>
      </c>
      <c r="C49" t="s">
        <v>12</v>
      </c>
      <c r="D49">
        <v>20130619</v>
      </c>
      <c r="E49" s="1">
        <v>0.40546296296296297</v>
      </c>
      <c r="F49">
        <v>11.19</v>
      </c>
      <c r="G49">
        <v>1300</v>
      </c>
      <c r="H49">
        <v>14547</v>
      </c>
      <c r="I49">
        <v>2020700</v>
      </c>
      <c r="J49">
        <v>73</v>
      </c>
      <c r="K49" t="str">
        <f t="shared" si="1"/>
        <v>0149130884</v>
      </c>
    </row>
    <row r="50" spans="1:11">
      <c r="A50" s="4" t="str">
        <f t="shared" si="0"/>
        <v>000012</v>
      </c>
      <c r="B50" t="s">
        <v>20</v>
      </c>
      <c r="C50" t="s">
        <v>12</v>
      </c>
      <c r="D50">
        <v>20130620</v>
      </c>
      <c r="E50" s="1">
        <v>0.6096759259259259</v>
      </c>
      <c r="F50">
        <v>11.39</v>
      </c>
      <c r="G50">
        <v>3700</v>
      </c>
      <c r="H50">
        <v>42143</v>
      </c>
      <c r="I50">
        <v>14530120</v>
      </c>
      <c r="J50">
        <v>100</v>
      </c>
      <c r="K50" t="str">
        <f t="shared" si="1"/>
        <v>0149130884</v>
      </c>
    </row>
    <row r="51" spans="1:11">
      <c r="A51" s="4">
        <v>600718</v>
      </c>
      <c r="B51" t="s">
        <v>16</v>
      </c>
      <c r="C51" t="s">
        <v>12</v>
      </c>
      <c r="D51">
        <v>20130625</v>
      </c>
      <c r="E51" s="1">
        <v>0.40660879629629632</v>
      </c>
      <c r="F51">
        <v>7.8</v>
      </c>
      <c r="G51">
        <v>2800</v>
      </c>
      <c r="H51">
        <v>21840</v>
      </c>
      <c r="I51">
        <v>631531</v>
      </c>
      <c r="J51">
        <v>123</v>
      </c>
      <c r="K51" t="s">
        <v>11</v>
      </c>
    </row>
    <row r="52" spans="1:11">
      <c r="A52" s="4" t="str">
        <f>"000012"</f>
        <v>000012</v>
      </c>
      <c r="B52" t="s">
        <v>20</v>
      </c>
      <c r="C52" t="s">
        <v>12</v>
      </c>
      <c r="D52">
        <v>20130625</v>
      </c>
      <c r="E52" s="1">
        <v>0.46553240740740742</v>
      </c>
      <c r="F52">
        <v>9.5500000000000007</v>
      </c>
      <c r="G52">
        <v>1000</v>
      </c>
      <c r="H52">
        <v>9550</v>
      </c>
      <c r="I52">
        <v>8406455</v>
      </c>
      <c r="J52">
        <v>113</v>
      </c>
      <c r="K52" t="str">
        <f>"0149130884"</f>
        <v>0149130884</v>
      </c>
    </row>
    <row r="53" spans="1:11">
      <c r="A53" s="4" t="str">
        <f>"000012"</f>
        <v>000012</v>
      </c>
      <c r="B53" t="s">
        <v>20</v>
      </c>
      <c r="C53" t="s">
        <v>14</v>
      </c>
      <c r="D53">
        <v>20130625</v>
      </c>
      <c r="E53" s="1">
        <v>0.40144675925925927</v>
      </c>
      <c r="F53">
        <v>10.15</v>
      </c>
      <c r="G53">
        <v>200</v>
      </c>
      <c r="H53">
        <v>2030</v>
      </c>
      <c r="I53">
        <v>1456718</v>
      </c>
      <c r="J53">
        <v>111</v>
      </c>
      <c r="K53" t="str">
        <f>"0149130884"</f>
        <v>0149130884</v>
      </c>
    </row>
    <row r="54" spans="1:11">
      <c r="A54" s="4">
        <v>600718</v>
      </c>
      <c r="B54" t="s">
        <v>16</v>
      </c>
      <c r="C54" t="s">
        <v>14</v>
      </c>
      <c r="D54">
        <v>20130626</v>
      </c>
      <c r="E54" s="1">
        <v>0.41564814814814816</v>
      </c>
      <c r="F54">
        <v>8</v>
      </c>
      <c r="G54">
        <v>1400</v>
      </c>
      <c r="H54">
        <v>11200</v>
      </c>
      <c r="I54">
        <v>1041231</v>
      </c>
      <c r="J54">
        <v>130</v>
      </c>
      <c r="K54" t="s">
        <v>11</v>
      </c>
    </row>
    <row r="55" spans="1:11">
      <c r="A55" s="4">
        <v>600718</v>
      </c>
      <c r="B55" t="s">
        <v>16</v>
      </c>
      <c r="C55" t="s">
        <v>14</v>
      </c>
      <c r="D55">
        <v>20130626</v>
      </c>
      <c r="E55" s="1">
        <v>0.41781249999999998</v>
      </c>
      <c r="F55">
        <v>7.97</v>
      </c>
      <c r="G55">
        <v>1400</v>
      </c>
      <c r="H55">
        <v>11158</v>
      </c>
      <c r="I55">
        <v>1120388</v>
      </c>
      <c r="J55">
        <v>133</v>
      </c>
      <c r="K55" t="s">
        <v>11</v>
      </c>
    </row>
    <row r="56" spans="1:11">
      <c r="A56" s="4">
        <v>600000</v>
      </c>
      <c r="B56" t="s">
        <v>21</v>
      </c>
      <c r="C56" t="s">
        <v>12</v>
      </c>
      <c r="D56">
        <v>20130626</v>
      </c>
      <c r="E56" s="1">
        <v>0.56275462962962963</v>
      </c>
      <c r="F56">
        <v>7.77</v>
      </c>
      <c r="G56">
        <v>1000</v>
      </c>
      <c r="H56">
        <v>7770</v>
      </c>
      <c r="I56">
        <v>3037124</v>
      </c>
      <c r="J56">
        <v>148</v>
      </c>
      <c r="K56" t="s">
        <v>11</v>
      </c>
    </row>
    <row r="57" spans="1:11">
      <c r="A57" s="4" t="str">
        <f>"000012"</f>
        <v>000012</v>
      </c>
      <c r="B57" t="s">
        <v>20</v>
      </c>
      <c r="C57" t="s">
        <v>14</v>
      </c>
      <c r="D57">
        <v>20130626</v>
      </c>
      <c r="E57" s="1">
        <v>0.47412037037037041</v>
      </c>
      <c r="F57">
        <v>10</v>
      </c>
      <c r="G57">
        <v>800</v>
      </c>
      <c r="H57">
        <v>8000</v>
      </c>
      <c r="I57">
        <v>10938280</v>
      </c>
      <c r="J57">
        <v>145</v>
      </c>
      <c r="K57" t="str">
        <f>"0149130884"</f>
        <v>0149130884</v>
      </c>
    </row>
    <row r="58" spans="1:11">
      <c r="A58" s="4" t="str">
        <f>"000012"</f>
        <v>000012</v>
      </c>
      <c r="B58" t="s">
        <v>20</v>
      </c>
      <c r="C58" t="s">
        <v>12</v>
      </c>
      <c r="D58">
        <v>20130626</v>
      </c>
      <c r="E58" s="1">
        <v>0.42773148148148149</v>
      </c>
      <c r="F58">
        <v>9.7200000000000006</v>
      </c>
      <c r="G58">
        <v>1000</v>
      </c>
      <c r="H58">
        <v>9720</v>
      </c>
      <c r="I58">
        <v>6441652</v>
      </c>
      <c r="J58">
        <v>140</v>
      </c>
      <c r="K58" t="str">
        <f>"0149130884"</f>
        <v>0149130884</v>
      </c>
    </row>
    <row r="59" spans="1:11">
      <c r="A59" s="4">
        <v>600000</v>
      </c>
      <c r="B59" t="s">
        <v>21</v>
      </c>
      <c r="C59" t="s">
        <v>14</v>
      </c>
      <c r="D59">
        <v>20130627</v>
      </c>
      <c r="E59" s="1">
        <v>0.40697916666666667</v>
      </c>
      <c r="F59">
        <v>7.86</v>
      </c>
      <c r="G59">
        <v>1000</v>
      </c>
      <c r="H59">
        <v>7860</v>
      </c>
      <c r="I59">
        <v>627908</v>
      </c>
      <c r="J59">
        <v>166</v>
      </c>
      <c r="K59" t="s">
        <v>11</v>
      </c>
    </row>
    <row r="60" spans="1:11">
      <c r="A60" s="4" t="str">
        <f t="shared" ref="A60:A75" si="2">"000012"</f>
        <v>000012</v>
      </c>
      <c r="B60" t="s">
        <v>20</v>
      </c>
      <c r="C60" t="s">
        <v>12</v>
      </c>
      <c r="D60">
        <v>20130627</v>
      </c>
      <c r="E60" s="1">
        <v>0.61694444444444441</v>
      </c>
      <c r="F60">
        <v>9.34</v>
      </c>
      <c r="G60">
        <v>600</v>
      </c>
      <c r="H60">
        <v>5604</v>
      </c>
      <c r="I60">
        <v>19940406</v>
      </c>
      <c r="J60">
        <v>177</v>
      </c>
      <c r="K60" t="str">
        <f t="shared" ref="K60:K75" si="3">"0149130884"</f>
        <v>0149130884</v>
      </c>
    </row>
    <row r="61" spans="1:11">
      <c r="A61" s="4" t="str">
        <f t="shared" si="2"/>
        <v>000012</v>
      </c>
      <c r="B61" t="s">
        <v>20</v>
      </c>
      <c r="C61" t="s">
        <v>12</v>
      </c>
      <c r="D61">
        <v>20130627</v>
      </c>
      <c r="E61" s="1">
        <v>0.5977083333333334</v>
      </c>
      <c r="F61">
        <v>9.52</v>
      </c>
      <c r="G61">
        <v>500</v>
      </c>
      <c r="H61">
        <v>4760</v>
      </c>
      <c r="I61">
        <v>17649140</v>
      </c>
      <c r="J61">
        <v>173</v>
      </c>
      <c r="K61" t="str">
        <f t="shared" si="3"/>
        <v>0149130884</v>
      </c>
    </row>
    <row r="62" spans="1:11">
      <c r="A62" s="4" t="str">
        <f t="shared" si="2"/>
        <v>000012</v>
      </c>
      <c r="B62" t="s">
        <v>20</v>
      </c>
      <c r="C62" t="s">
        <v>12</v>
      </c>
      <c r="D62">
        <v>20130627</v>
      </c>
      <c r="E62" s="1">
        <v>0.40938657407407408</v>
      </c>
      <c r="F62">
        <v>9.9</v>
      </c>
      <c r="G62">
        <v>800</v>
      </c>
      <c r="H62">
        <v>7920</v>
      </c>
      <c r="I62">
        <v>3289388</v>
      </c>
      <c r="J62">
        <v>169</v>
      </c>
      <c r="K62" t="str">
        <f t="shared" si="3"/>
        <v>0149130884</v>
      </c>
    </row>
    <row r="63" spans="1:11">
      <c r="A63" s="4" t="str">
        <f t="shared" si="2"/>
        <v>000012</v>
      </c>
      <c r="B63" t="s">
        <v>20</v>
      </c>
      <c r="C63" t="s">
        <v>12</v>
      </c>
      <c r="D63">
        <v>20130627</v>
      </c>
      <c r="E63" s="1">
        <v>0.40574074074074074</v>
      </c>
      <c r="F63">
        <v>10.06</v>
      </c>
      <c r="G63">
        <v>1300</v>
      </c>
      <c r="H63">
        <v>13078</v>
      </c>
      <c r="I63">
        <v>2641206</v>
      </c>
      <c r="J63">
        <v>163</v>
      </c>
      <c r="K63" t="str">
        <f t="shared" si="3"/>
        <v>0149130884</v>
      </c>
    </row>
    <row r="64" spans="1:11">
      <c r="A64" s="4" t="str">
        <f t="shared" si="2"/>
        <v>000012</v>
      </c>
      <c r="B64" t="s">
        <v>20</v>
      </c>
      <c r="C64" t="s">
        <v>14</v>
      </c>
      <c r="D64">
        <v>20130628</v>
      </c>
      <c r="E64" s="1">
        <v>0.43989583333333332</v>
      </c>
      <c r="F64">
        <v>9.59</v>
      </c>
      <c r="G64">
        <v>100</v>
      </c>
      <c r="H64">
        <v>959</v>
      </c>
      <c r="I64">
        <v>6756104</v>
      </c>
      <c r="J64">
        <v>198</v>
      </c>
      <c r="K64" t="str">
        <f t="shared" si="3"/>
        <v>0149130884</v>
      </c>
    </row>
    <row r="65" spans="1:11">
      <c r="A65" s="4" t="str">
        <f t="shared" si="2"/>
        <v>000012</v>
      </c>
      <c r="B65" t="s">
        <v>20</v>
      </c>
      <c r="C65" t="s">
        <v>14</v>
      </c>
      <c r="D65">
        <v>20130628</v>
      </c>
      <c r="E65" s="1">
        <v>0.42751157407407409</v>
      </c>
      <c r="F65">
        <v>9.6</v>
      </c>
      <c r="G65">
        <v>500</v>
      </c>
      <c r="H65">
        <v>4800</v>
      </c>
      <c r="I65">
        <v>5264251</v>
      </c>
      <c r="J65">
        <v>192</v>
      </c>
      <c r="K65" t="str">
        <f t="shared" si="3"/>
        <v>0149130884</v>
      </c>
    </row>
    <row r="66" spans="1:11">
      <c r="A66" s="4" t="str">
        <f t="shared" si="2"/>
        <v>000012</v>
      </c>
      <c r="B66" t="s">
        <v>20</v>
      </c>
      <c r="C66" t="s">
        <v>14</v>
      </c>
      <c r="D66">
        <v>20130628</v>
      </c>
      <c r="E66" s="1">
        <v>0.40902777777777777</v>
      </c>
      <c r="F66">
        <v>9.4</v>
      </c>
      <c r="G66">
        <v>500</v>
      </c>
      <c r="H66">
        <v>4700</v>
      </c>
      <c r="I66">
        <v>2802185</v>
      </c>
      <c r="J66">
        <v>186</v>
      </c>
      <c r="K66" t="str">
        <f t="shared" si="3"/>
        <v>0149130884</v>
      </c>
    </row>
    <row r="67" spans="1:11">
      <c r="A67" s="4" t="str">
        <f t="shared" si="2"/>
        <v>000012</v>
      </c>
      <c r="B67" t="s">
        <v>20</v>
      </c>
      <c r="C67" t="s">
        <v>12</v>
      </c>
      <c r="D67">
        <v>20130628</v>
      </c>
      <c r="E67" s="1">
        <v>0.56928240740740743</v>
      </c>
      <c r="F67">
        <v>9.33</v>
      </c>
      <c r="G67">
        <v>500</v>
      </c>
      <c r="H67">
        <v>4665</v>
      </c>
      <c r="I67">
        <v>12756225</v>
      </c>
      <c r="J67">
        <v>204</v>
      </c>
      <c r="K67" t="str">
        <f t="shared" si="3"/>
        <v>0149130884</v>
      </c>
    </row>
    <row r="68" spans="1:11">
      <c r="A68" s="4" t="str">
        <f t="shared" si="2"/>
        <v>000012</v>
      </c>
      <c r="B68" t="s">
        <v>20</v>
      </c>
      <c r="C68" t="s">
        <v>14</v>
      </c>
      <c r="D68">
        <v>20130701</v>
      </c>
      <c r="E68" s="1">
        <v>0.42075231481481484</v>
      </c>
      <c r="F68">
        <v>9.5</v>
      </c>
      <c r="G68">
        <v>600</v>
      </c>
      <c r="H68">
        <v>5700</v>
      </c>
      <c r="I68">
        <v>3572479</v>
      </c>
      <c r="J68">
        <v>212</v>
      </c>
      <c r="K68" t="str">
        <f t="shared" si="3"/>
        <v>0149130884</v>
      </c>
    </row>
    <row r="69" spans="1:11">
      <c r="A69" s="4" t="str">
        <f t="shared" si="2"/>
        <v>000012</v>
      </c>
      <c r="B69" t="s">
        <v>20</v>
      </c>
      <c r="C69" t="s">
        <v>14</v>
      </c>
      <c r="D69">
        <v>20130702</v>
      </c>
      <c r="E69" s="1">
        <v>0.42481481481481481</v>
      </c>
      <c r="F69">
        <v>9.9499999999999993</v>
      </c>
      <c r="G69">
        <v>500</v>
      </c>
      <c r="H69">
        <v>4975</v>
      </c>
      <c r="I69">
        <v>4952464</v>
      </c>
      <c r="J69">
        <v>5</v>
      </c>
      <c r="K69" t="str">
        <f t="shared" si="3"/>
        <v>0149130884</v>
      </c>
    </row>
    <row r="70" spans="1:11">
      <c r="A70" s="4" t="str">
        <f t="shared" si="2"/>
        <v>000012</v>
      </c>
      <c r="B70" t="s">
        <v>20</v>
      </c>
      <c r="C70" t="s">
        <v>12</v>
      </c>
      <c r="D70">
        <v>20130704</v>
      </c>
      <c r="E70" s="1">
        <v>0.43</v>
      </c>
      <c r="F70">
        <v>9.93</v>
      </c>
      <c r="G70">
        <v>600</v>
      </c>
      <c r="H70">
        <v>5958</v>
      </c>
      <c r="I70">
        <v>5986353</v>
      </c>
      <c r="J70">
        <v>15</v>
      </c>
      <c r="K70" t="str">
        <f t="shared" si="3"/>
        <v>0149130884</v>
      </c>
    </row>
    <row r="71" spans="1:11">
      <c r="A71" s="4" t="str">
        <f t="shared" si="2"/>
        <v>000012</v>
      </c>
      <c r="B71" t="s">
        <v>20</v>
      </c>
      <c r="C71" t="s">
        <v>14</v>
      </c>
      <c r="D71">
        <v>20130704</v>
      </c>
      <c r="E71" s="1">
        <v>0.61545138888888895</v>
      </c>
      <c r="F71">
        <v>10.06</v>
      </c>
      <c r="G71">
        <v>100</v>
      </c>
      <c r="H71">
        <v>1006</v>
      </c>
      <c r="I71">
        <v>19804858</v>
      </c>
      <c r="J71">
        <v>18</v>
      </c>
      <c r="K71" t="str">
        <f t="shared" si="3"/>
        <v>0149130884</v>
      </c>
    </row>
    <row r="72" spans="1:11">
      <c r="A72" s="4" t="str">
        <f t="shared" si="2"/>
        <v>000012</v>
      </c>
      <c r="B72" t="s">
        <v>20</v>
      </c>
      <c r="C72" t="s">
        <v>14</v>
      </c>
      <c r="D72">
        <v>20130715</v>
      </c>
      <c r="E72" s="1">
        <v>0.45067129629629626</v>
      </c>
      <c r="F72">
        <v>9.44</v>
      </c>
      <c r="G72">
        <v>500</v>
      </c>
      <c r="H72">
        <v>4720</v>
      </c>
      <c r="I72">
        <v>8678818</v>
      </c>
      <c r="J72">
        <v>26</v>
      </c>
      <c r="K72" t="str">
        <f t="shared" si="3"/>
        <v>0149130884</v>
      </c>
    </row>
    <row r="73" spans="1:11">
      <c r="A73" s="4" t="str">
        <f t="shared" si="2"/>
        <v>000012</v>
      </c>
      <c r="B73" t="s">
        <v>20</v>
      </c>
      <c r="C73" t="s">
        <v>12</v>
      </c>
      <c r="D73">
        <v>20130716</v>
      </c>
      <c r="E73" s="1">
        <v>0.54858796296296297</v>
      </c>
      <c r="F73">
        <v>9.4</v>
      </c>
      <c r="G73">
        <v>500</v>
      </c>
      <c r="H73">
        <v>4700</v>
      </c>
      <c r="I73">
        <v>12716060</v>
      </c>
      <c r="J73">
        <v>30</v>
      </c>
      <c r="K73" t="str">
        <f t="shared" si="3"/>
        <v>0149130884</v>
      </c>
    </row>
    <row r="74" spans="1:11">
      <c r="A74" s="4" t="str">
        <f t="shared" si="2"/>
        <v>000012</v>
      </c>
      <c r="B74" t="s">
        <v>20</v>
      </c>
      <c r="C74" t="s">
        <v>12</v>
      </c>
      <c r="D74">
        <v>20130717</v>
      </c>
      <c r="E74" s="1">
        <v>0.47770833333333335</v>
      </c>
      <c r="F74">
        <v>9.26</v>
      </c>
      <c r="G74">
        <v>100</v>
      </c>
      <c r="H74">
        <v>926</v>
      </c>
      <c r="I74">
        <v>11760859</v>
      </c>
      <c r="J74">
        <v>34</v>
      </c>
      <c r="K74" t="str">
        <f t="shared" si="3"/>
        <v>0149130884</v>
      </c>
    </row>
    <row r="75" spans="1:11">
      <c r="A75" s="4" t="str">
        <f t="shared" si="2"/>
        <v>000012</v>
      </c>
      <c r="B75" t="s">
        <v>20</v>
      </c>
      <c r="C75" t="s">
        <v>14</v>
      </c>
      <c r="D75">
        <v>20130902</v>
      </c>
      <c r="E75" s="1">
        <v>0.45050925925925928</v>
      </c>
      <c r="F75">
        <v>8.75</v>
      </c>
      <c r="G75">
        <v>8100</v>
      </c>
      <c r="H75">
        <v>70875</v>
      </c>
      <c r="I75">
        <v>8403941</v>
      </c>
      <c r="J75">
        <v>38</v>
      </c>
      <c r="K75" t="str">
        <f t="shared" si="3"/>
        <v>0149130884</v>
      </c>
    </row>
    <row r="76" spans="1:11">
      <c r="A76" s="4">
        <v>600718</v>
      </c>
      <c r="B76" t="s">
        <v>16</v>
      </c>
      <c r="C76" t="s">
        <v>12</v>
      </c>
      <c r="D76">
        <v>20130903</v>
      </c>
      <c r="E76" s="1">
        <v>0.41078703703703701</v>
      </c>
      <c r="F76">
        <v>11.33</v>
      </c>
      <c r="G76">
        <v>6200</v>
      </c>
      <c r="H76">
        <v>70246</v>
      </c>
      <c r="I76">
        <v>997082</v>
      </c>
      <c r="J76">
        <v>4</v>
      </c>
      <c r="K76" t="s">
        <v>11</v>
      </c>
    </row>
    <row r="77" spans="1:11">
      <c r="A77" s="4">
        <v>600718</v>
      </c>
      <c r="B77" t="s">
        <v>16</v>
      </c>
      <c r="C77" t="s">
        <v>14</v>
      </c>
      <c r="D77">
        <v>20130905</v>
      </c>
      <c r="E77" s="1">
        <v>0.57541666666666669</v>
      </c>
      <c r="F77">
        <v>11.73</v>
      </c>
      <c r="G77">
        <v>6200</v>
      </c>
      <c r="H77">
        <v>72726</v>
      </c>
      <c r="I77">
        <v>4062333</v>
      </c>
      <c r="J77">
        <v>12</v>
      </c>
      <c r="K77" t="s">
        <v>11</v>
      </c>
    </row>
    <row r="78" spans="1:11">
      <c r="A78" s="4" t="str">
        <f t="shared" ref="A78:A83" si="4">"000012"</f>
        <v>000012</v>
      </c>
      <c r="B78" t="s">
        <v>20</v>
      </c>
      <c r="C78" t="s">
        <v>12</v>
      </c>
      <c r="D78">
        <v>20130909</v>
      </c>
      <c r="E78" s="1">
        <v>0.40401620370370367</v>
      </c>
      <c r="F78">
        <v>9.14</v>
      </c>
      <c r="G78">
        <v>8000</v>
      </c>
      <c r="H78">
        <v>73120</v>
      </c>
      <c r="I78">
        <v>2252344</v>
      </c>
      <c r="J78">
        <v>22</v>
      </c>
      <c r="K78" t="str">
        <f t="shared" ref="K78:K83" si="5">"0149130884"</f>
        <v>0149130884</v>
      </c>
    </row>
    <row r="79" spans="1:11">
      <c r="A79" s="4" t="str">
        <f t="shared" si="4"/>
        <v>000012</v>
      </c>
      <c r="B79" t="s">
        <v>20</v>
      </c>
      <c r="C79" t="s">
        <v>14</v>
      </c>
      <c r="D79">
        <v>20130912</v>
      </c>
      <c r="E79" s="1">
        <v>0.44056712962962963</v>
      </c>
      <c r="F79">
        <v>9.35</v>
      </c>
      <c r="G79">
        <v>8000</v>
      </c>
      <c r="H79">
        <v>74800</v>
      </c>
      <c r="I79">
        <v>7831773</v>
      </c>
      <c r="J79">
        <v>26</v>
      </c>
      <c r="K79" t="str">
        <f t="shared" si="5"/>
        <v>0149130884</v>
      </c>
    </row>
    <row r="80" spans="1:11">
      <c r="A80" s="4" t="str">
        <f t="shared" si="4"/>
        <v>000012</v>
      </c>
      <c r="B80" t="s">
        <v>20</v>
      </c>
      <c r="C80" t="s">
        <v>12</v>
      </c>
      <c r="D80">
        <v>20130913</v>
      </c>
      <c r="E80" s="1">
        <v>0.57692129629629629</v>
      </c>
      <c r="F80">
        <v>9.17</v>
      </c>
      <c r="G80">
        <v>8100</v>
      </c>
      <c r="H80">
        <v>74277</v>
      </c>
      <c r="I80">
        <v>15390140</v>
      </c>
      <c r="J80">
        <v>33</v>
      </c>
      <c r="K80" t="str">
        <f t="shared" si="5"/>
        <v>0149130884</v>
      </c>
    </row>
    <row r="81" spans="1:11">
      <c r="A81" s="4" t="str">
        <f t="shared" si="4"/>
        <v>000012</v>
      </c>
      <c r="B81" t="s">
        <v>20</v>
      </c>
      <c r="C81" t="s">
        <v>14</v>
      </c>
      <c r="D81">
        <v>20131014</v>
      </c>
      <c r="E81" s="1">
        <v>0.56396990740740738</v>
      </c>
      <c r="F81">
        <v>9.39</v>
      </c>
      <c r="G81">
        <v>8100</v>
      </c>
      <c r="H81">
        <v>76059</v>
      </c>
      <c r="I81">
        <v>16301265</v>
      </c>
      <c r="J81">
        <v>40</v>
      </c>
      <c r="K81" t="str">
        <f t="shared" si="5"/>
        <v>0149130884</v>
      </c>
    </row>
    <row r="82" spans="1:11">
      <c r="A82" s="4" t="str">
        <f t="shared" si="4"/>
        <v>000012</v>
      </c>
      <c r="B82" t="s">
        <v>20</v>
      </c>
      <c r="C82" t="s">
        <v>12</v>
      </c>
      <c r="D82">
        <v>20131015</v>
      </c>
      <c r="E82" s="1">
        <v>0.44752314814814814</v>
      </c>
      <c r="F82">
        <v>9.6</v>
      </c>
      <c r="G82">
        <v>7900</v>
      </c>
      <c r="H82">
        <v>75840</v>
      </c>
      <c r="I82">
        <v>10561896</v>
      </c>
      <c r="J82">
        <v>1</v>
      </c>
      <c r="K82" t="str">
        <f t="shared" si="5"/>
        <v>0149130884</v>
      </c>
    </row>
    <row r="83" spans="1:11">
      <c r="A83" s="4" t="str">
        <f t="shared" si="4"/>
        <v>000012</v>
      </c>
      <c r="B83" t="s">
        <v>20</v>
      </c>
      <c r="C83" t="s">
        <v>12</v>
      </c>
      <c r="D83">
        <v>20140512</v>
      </c>
      <c r="E83" s="1">
        <v>0.55312499999999998</v>
      </c>
      <c r="F83">
        <v>7.35</v>
      </c>
      <c r="G83">
        <v>400</v>
      </c>
      <c r="H83">
        <v>2940</v>
      </c>
      <c r="I83">
        <v>10866964</v>
      </c>
      <c r="J83">
        <v>4</v>
      </c>
      <c r="K83" t="str">
        <f t="shared" si="5"/>
        <v>0149130884</v>
      </c>
    </row>
    <row r="84" spans="1:11">
      <c r="A84" s="4" t="s">
        <v>22</v>
      </c>
      <c r="B84" s="2" t="s">
        <v>20</v>
      </c>
      <c r="C84" s="2" t="s">
        <v>14</v>
      </c>
      <c r="D84" s="2">
        <v>20150305</v>
      </c>
      <c r="E84" s="3">
        <v>0.4213425925925926</v>
      </c>
      <c r="F84" s="2">
        <v>10.1</v>
      </c>
      <c r="G84" s="2">
        <v>2300</v>
      </c>
      <c r="H84" s="2">
        <v>23230</v>
      </c>
      <c r="I84" s="2">
        <v>12171479</v>
      </c>
      <c r="J84" s="2">
        <v>12</v>
      </c>
      <c r="K84" s="2" t="s">
        <v>23</v>
      </c>
    </row>
    <row r="85" spans="1:11">
      <c r="A85" s="4" t="s">
        <v>22</v>
      </c>
      <c r="B85" s="2" t="s">
        <v>20</v>
      </c>
      <c r="C85" s="2" t="s">
        <v>12</v>
      </c>
      <c r="D85" s="2">
        <v>20150306</v>
      </c>
      <c r="E85" s="3">
        <v>0.60785879629629636</v>
      </c>
      <c r="F85" s="2">
        <v>9.8000000000000007</v>
      </c>
      <c r="G85" s="2">
        <v>2300</v>
      </c>
      <c r="H85" s="2">
        <v>22540</v>
      </c>
      <c r="I85" s="2">
        <v>37264657</v>
      </c>
      <c r="J85" s="2">
        <v>7</v>
      </c>
      <c r="K85" s="2" t="s">
        <v>23</v>
      </c>
    </row>
    <row r="86" spans="1:11">
      <c r="A86" s="4" t="s">
        <v>22</v>
      </c>
      <c r="B86" s="2" t="s">
        <v>20</v>
      </c>
      <c r="C86" s="2" t="s">
        <v>14</v>
      </c>
      <c r="D86" s="2">
        <v>20150310</v>
      </c>
      <c r="E86" s="3">
        <v>0.4375</v>
      </c>
      <c r="F86" s="2">
        <v>10.15</v>
      </c>
      <c r="G86" s="2">
        <v>4300</v>
      </c>
      <c r="H86" s="2">
        <v>43645</v>
      </c>
      <c r="I86" s="2">
        <v>15130520</v>
      </c>
      <c r="J86" s="2">
        <v>15</v>
      </c>
      <c r="K86" s="2" t="s">
        <v>23</v>
      </c>
    </row>
    <row r="87" spans="1:11">
      <c r="A87" s="4" t="s">
        <v>22</v>
      </c>
      <c r="B87" s="2" t="s">
        <v>20</v>
      </c>
      <c r="C87" s="2" t="s">
        <v>14</v>
      </c>
      <c r="D87" s="2">
        <v>20150310</v>
      </c>
      <c r="E87" s="3">
        <v>0.40870370370370374</v>
      </c>
      <c r="F87" s="2">
        <v>10.1</v>
      </c>
      <c r="G87" s="2">
        <v>4000</v>
      </c>
      <c r="H87" s="2">
        <v>40400</v>
      </c>
      <c r="I87" s="2">
        <v>6476710</v>
      </c>
      <c r="J87" s="2">
        <v>12</v>
      </c>
      <c r="K87" s="2" t="s">
        <v>23</v>
      </c>
    </row>
    <row r="88" spans="1:11" s="2" customFormat="1">
      <c r="A88" s="4">
        <v>600138</v>
      </c>
      <c r="B88" s="2" t="s">
        <v>27</v>
      </c>
      <c r="C88" s="2" t="s">
        <v>12</v>
      </c>
      <c r="D88" s="2">
        <v>20200506</v>
      </c>
      <c r="E88" s="1">
        <v>0.55924768518518519</v>
      </c>
      <c r="F88" s="2">
        <v>10.050000000000001</v>
      </c>
      <c r="G88" s="2">
        <v>600</v>
      </c>
      <c r="H88" s="2">
        <v>6030</v>
      </c>
      <c r="I88" s="2">
        <v>12804781</v>
      </c>
      <c r="J88" s="2">
        <v>21</v>
      </c>
      <c r="K88" s="2" t="s">
        <v>11</v>
      </c>
    </row>
    <row r="89" spans="1:11" s="2" customFormat="1">
      <c r="A89" s="4" t="str">
        <f>"002059"</f>
        <v>002059</v>
      </c>
      <c r="B89" s="2" t="s">
        <v>32</v>
      </c>
      <c r="C89" s="2" t="s">
        <v>12</v>
      </c>
      <c r="D89" s="2">
        <v>20200506</v>
      </c>
      <c r="E89" s="1">
        <v>0.42185185185185187</v>
      </c>
      <c r="F89" s="2">
        <v>4.71</v>
      </c>
      <c r="G89" s="2">
        <v>2000</v>
      </c>
      <c r="H89" s="2">
        <v>9420</v>
      </c>
      <c r="I89" s="2" t="str">
        <f>"0102000010359024"</f>
        <v>0102000010359024</v>
      </c>
      <c r="J89" s="2">
        <v>13</v>
      </c>
      <c r="K89" s="2" t="str">
        <f>"0149130884"</f>
        <v>0149130884</v>
      </c>
    </row>
    <row r="90" spans="1:11" s="2" customFormat="1">
      <c r="A90" s="4" t="str">
        <f>"002044"</f>
        <v>002044</v>
      </c>
      <c r="B90" s="2" t="s">
        <v>33</v>
      </c>
      <c r="C90" s="2" t="s">
        <v>12</v>
      </c>
      <c r="D90" s="2">
        <v>20200506</v>
      </c>
      <c r="E90" s="1">
        <v>0.47089120370370369</v>
      </c>
      <c r="F90" s="2">
        <v>11.02</v>
      </c>
      <c r="G90" s="2">
        <v>600</v>
      </c>
      <c r="H90" s="2">
        <v>6612</v>
      </c>
      <c r="I90" s="2" t="str">
        <f>"0101000015087549"</f>
        <v>0101000015087549</v>
      </c>
      <c r="J90" s="2">
        <v>18</v>
      </c>
      <c r="K90" s="2" t="str">
        <f>"0149130884"</f>
        <v>0149130884</v>
      </c>
    </row>
    <row r="91" spans="1:11" s="2" customFormat="1">
      <c r="A91" s="4" t="str">
        <f>"000610"</f>
        <v>000610</v>
      </c>
      <c r="B91" s="2" t="s">
        <v>35</v>
      </c>
      <c r="C91" s="2" t="s">
        <v>12</v>
      </c>
      <c r="D91" s="2">
        <v>20200506</v>
      </c>
      <c r="E91" s="1">
        <v>0.56497685185185187</v>
      </c>
      <c r="F91" s="2">
        <v>8.1999999999999993</v>
      </c>
      <c r="G91" s="2">
        <v>600</v>
      </c>
      <c r="H91" s="2">
        <v>4920</v>
      </c>
      <c r="I91" s="2" t="str">
        <f>"0103000019529607"</f>
        <v>0103000019529607</v>
      </c>
      <c r="J91" s="2">
        <v>24</v>
      </c>
      <c r="K91" s="2" t="str">
        <f>"0149130884"</f>
        <v>0149130884</v>
      </c>
    </row>
    <row r="92" spans="1:11" s="2" customFormat="1">
      <c r="A92" s="4" t="str">
        <f>"000610"</f>
        <v>000610</v>
      </c>
      <c r="B92" s="2" t="s">
        <v>35</v>
      </c>
      <c r="C92" s="2" t="s">
        <v>12</v>
      </c>
      <c r="D92" s="2">
        <v>20200506</v>
      </c>
      <c r="E92" s="1">
        <v>0.42061342592592593</v>
      </c>
      <c r="F92" s="2">
        <v>8.25</v>
      </c>
      <c r="G92" s="2">
        <v>1300</v>
      </c>
      <c r="H92" s="2">
        <v>10725</v>
      </c>
      <c r="I92" s="2" t="str">
        <f>"0103000008686011"</f>
        <v>0103000008686011</v>
      </c>
      <c r="J92" s="2">
        <v>10</v>
      </c>
      <c r="K92" s="2" t="str">
        <f>"0149130884"</f>
        <v>0149130884</v>
      </c>
    </row>
    <row r="93" spans="1:11" s="2" customFormat="1">
      <c r="A93" s="4">
        <v>600268</v>
      </c>
      <c r="B93" s="2" t="s">
        <v>26</v>
      </c>
      <c r="C93" s="2" t="s">
        <v>12</v>
      </c>
      <c r="D93" s="2">
        <v>20200512</v>
      </c>
      <c r="E93" s="1">
        <v>0.57385416666666667</v>
      </c>
      <c r="F93" s="2">
        <v>10.34</v>
      </c>
      <c r="G93" s="2">
        <v>1000</v>
      </c>
      <c r="H93" s="2">
        <v>10340</v>
      </c>
      <c r="I93" s="2">
        <v>11654494</v>
      </c>
      <c r="J93" s="2">
        <v>5</v>
      </c>
      <c r="K93" s="2" t="s">
        <v>11</v>
      </c>
    </row>
    <row r="94" spans="1:11" s="2" customFormat="1">
      <c r="A94" s="4">
        <v>600268</v>
      </c>
      <c r="B94" s="2" t="s">
        <v>26</v>
      </c>
      <c r="C94" s="2" t="s">
        <v>14</v>
      </c>
      <c r="D94" s="2">
        <v>20200513</v>
      </c>
      <c r="E94" s="1">
        <v>0.40106481481481482</v>
      </c>
      <c r="F94" s="2">
        <v>10.6</v>
      </c>
      <c r="G94" s="2">
        <v>300</v>
      </c>
      <c r="H94" s="2">
        <v>3180</v>
      </c>
      <c r="I94" s="2">
        <v>1569990</v>
      </c>
      <c r="J94" s="2">
        <v>12</v>
      </c>
      <c r="K94" s="2" t="s">
        <v>11</v>
      </c>
    </row>
    <row r="95" spans="1:11" s="2" customFormat="1">
      <c r="A95" s="4">
        <v>600268</v>
      </c>
      <c r="B95" s="2" t="s">
        <v>26</v>
      </c>
      <c r="C95" s="2" t="s">
        <v>14</v>
      </c>
      <c r="D95" s="2">
        <v>20200513</v>
      </c>
      <c r="E95" s="1">
        <v>0.40072916666666664</v>
      </c>
      <c r="F95" s="2">
        <v>10.5</v>
      </c>
      <c r="G95" s="2">
        <v>400</v>
      </c>
      <c r="H95" s="2">
        <v>4200</v>
      </c>
      <c r="I95" s="2">
        <v>1508927</v>
      </c>
      <c r="J95" s="2">
        <v>10</v>
      </c>
      <c r="K95" s="2" t="s">
        <v>11</v>
      </c>
    </row>
    <row r="96" spans="1:11" s="2" customFormat="1">
      <c r="A96" s="4">
        <v>600268</v>
      </c>
      <c r="B96" s="2" t="s">
        <v>26</v>
      </c>
      <c r="C96" s="2" t="s">
        <v>14</v>
      </c>
      <c r="D96" s="2">
        <v>20200513</v>
      </c>
      <c r="E96" s="1">
        <v>0.40513888888888888</v>
      </c>
      <c r="F96" s="2">
        <v>11.11</v>
      </c>
      <c r="G96" s="2">
        <v>300</v>
      </c>
      <c r="H96" s="2">
        <v>3333</v>
      </c>
      <c r="I96" s="2">
        <v>2331100</v>
      </c>
      <c r="J96" s="2">
        <v>19</v>
      </c>
      <c r="K96" s="2" t="s">
        <v>11</v>
      </c>
    </row>
    <row r="97" spans="1:11" s="2" customFormat="1">
      <c r="A97" s="4">
        <v>300498</v>
      </c>
      <c r="B97" s="2" t="s">
        <v>28</v>
      </c>
      <c r="C97" s="2" t="s">
        <v>12</v>
      </c>
      <c r="D97" s="2">
        <v>20200514</v>
      </c>
      <c r="E97" s="1">
        <v>0.46248842592592593</v>
      </c>
      <c r="F97" s="2">
        <v>28.72</v>
      </c>
      <c r="G97" s="2">
        <v>800</v>
      </c>
      <c r="H97" s="2">
        <v>22976</v>
      </c>
      <c r="I97" s="2" t="str">
        <f>"0102000013110257"</f>
        <v>0102000013110257</v>
      </c>
      <c r="J97" s="2">
        <v>40</v>
      </c>
      <c r="K97" s="2" t="str">
        <f>"0149130884"</f>
        <v>0149130884</v>
      </c>
    </row>
    <row r="98" spans="1:11" s="2" customFormat="1">
      <c r="A98" s="4">
        <v>300498</v>
      </c>
      <c r="B98" s="2" t="s">
        <v>28</v>
      </c>
      <c r="C98" s="2" t="s">
        <v>12</v>
      </c>
      <c r="D98" s="2">
        <v>20200514</v>
      </c>
      <c r="E98" s="1">
        <v>0.58351851851851855</v>
      </c>
      <c r="F98" s="2">
        <v>28.52</v>
      </c>
      <c r="G98" s="2">
        <v>400</v>
      </c>
      <c r="H98" s="2">
        <v>11408</v>
      </c>
      <c r="I98" s="2" t="str">
        <f>"0102000019847660"</f>
        <v>0102000019847660</v>
      </c>
      <c r="J98" s="2">
        <v>45</v>
      </c>
      <c r="K98" s="2" t="str">
        <f>"0149130884"</f>
        <v>0149130884</v>
      </c>
    </row>
    <row r="99" spans="1:11" s="2" customFormat="1">
      <c r="A99" s="4">
        <v>600268</v>
      </c>
      <c r="B99" s="2" t="s">
        <v>26</v>
      </c>
      <c r="C99" s="2" t="s">
        <v>12</v>
      </c>
      <c r="D99" s="2">
        <v>20200518</v>
      </c>
      <c r="E99" s="1">
        <v>0.59621527777777772</v>
      </c>
      <c r="F99" s="2">
        <v>10.33</v>
      </c>
      <c r="G99" s="2">
        <v>1000</v>
      </c>
      <c r="H99" s="2">
        <v>10330</v>
      </c>
      <c r="I99" s="2">
        <v>14614619</v>
      </c>
      <c r="J99" s="2">
        <v>63</v>
      </c>
      <c r="K99" s="2" t="s">
        <v>11</v>
      </c>
    </row>
    <row r="100" spans="1:11" s="2" customFormat="1">
      <c r="A100" s="4">
        <v>600268</v>
      </c>
      <c r="B100" s="2" t="s">
        <v>26</v>
      </c>
      <c r="C100" s="2" t="s">
        <v>12</v>
      </c>
      <c r="D100" s="2">
        <v>20200518</v>
      </c>
      <c r="E100" s="1">
        <v>0.59168981481481475</v>
      </c>
      <c r="F100" s="2">
        <v>10.4</v>
      </c>
      <c r="G100" s="2">
        <v>1000</v>
      </c>
      <c r="H100" s="2">
        <v>10400</v>
      </c>
      <c r="I100" s="2">
        <v>14234940</v>
      </c>
      <c r="J100" s="2">
        <v>60</v>
      </c>
      <c r="K100" s="2" t="s">
        <v>11</v>
      </c>
    </row>
    <row r="101" spans="1:11" s="2" customFormat="1">
      <c r="A101" s="4">
        <v>300433</v>
      </c>
      <c r="B101" s="2" t="s">
        <v>29</v>
      </c>
      <c r="C101" s="2" t="s">
        <v>12</v>
      </c>
      <c r="D101" s="2">
        <v>20200518</v>
      </c>
      <c r="E101" s="1">
        <v>0.58759259259259256</v>
      </c>
      <c r="F101" s="2">
        <v>17.079999999999998</v>
      </c>
      <c r="G101" s="2">
        <v>1000</v>
      </c>
      <c r="H101" s="2">
        <v>17080</v>
      </c>
      <c r="I101" s="2" t="str">
        <f>"0103000023389809"</f>
        <v>0103000023389809</v>
      </c>
      <c r="J101" s="2">
        <v>55</v>
      </c>
      <c r="K101" s="2" t="str">
        <f>"0149130884"</f>
        <v>0149130884</v>
      </c>
    </row>
    <row r="102" spans="1:11" s="2" customFormat="1">
      <c r="A102" s="4">
        <v>600406</v>
      </c>
      <c r="B102" s="2" t="s">
        <v>25</v>
      </c>
      <c r="C102" s="2" t="s">
        <v>12</v>
      </c>
      <c r="D102" s="2">
        <v>20200519</v>
      </c>
      <c r="E102" s="1">
        <v>0.42868055555555556</v>
      </c>
      <c r="F102" s="2">
        <v>19.489999999999998</v>
      </c>
      <c r="G102" s="2">
        <v>500</v>
      </c>
      <c r="H102" s="2">
        <v>9745</v>
      </c>
      <c r="I102" s="2">
        <v>5152433</v>
      </c>
      <c r="J102" s="2">
        <v>74</v>
      </c>
      <c r="K102" s="2" t="s">
        <v>11</v>
      </c>
    </row>
    <row r="103" spans="1:11" s="2" customFormat="1">
      <c r="A103" s="4">
        <v>600268</v>
      </c>
      <c r="B103" s="2" t="s">
        <v>26</v>
      </c>
      <c r="C103" s="2" t="s">
        <v>12</v>
      </c>
      <c r="D103" s="2">
        <v>20200519</v>
      </c>
      <c r="E103" s="1">
        <v>0.42940972222222223</v>
      </c>
      <c r="F103" s="2">
        <v>9.9</v>
      </c>
      <c r="G103" s="2">
        <v>1000</v>
      </c>
      <c r="H103" s="2">
        <v>9900</v>
      </c>
      <c r="I103" s="2">
        <v>5211171</v>
      </c>
      <c r="J103" s="2">
        <v>72</v>
      </c>
      <c r="K103" s="2" t="s">
        <v>11</v>
      </c>
    </row>
    <row r="104" spans="1:11" s="2" customFormat="1">
      <c r="A104" s="4">
        <v>600268</v>
      </c>
      <c r="B104" s="2" t="s">
        <v>26</v>
      </c>
      <c r="C104" s="2" t="s">
        <v>12</v>
      </c>
      <c r="D104" s="2">
        <v>20200519</v>
      </c>
      <c r="E104" s="1">
        <v>0.41313657407407406</v>
      </c>
      <c r="F104" s="2">
        <v>9.91</v>
      </c>
      <c r="G104" s="2">
        <v>1000</v>
      </c>
      <c r="H104" s="2">
        <v>9910</v>
      </c>
      <c r="I104" s="2">
        <v>3482292</v>
      </c>
      <c r="J104" s="2">
        <v>69</v>
      </c>
      <c r="K104" s="2" t="s">
        <v>11</v>
      </c>
    </row>
    <row r="105" spans="1:11" s="2" customFormat="1">
      <c r="A105" s="4">
        <v>600268</v>
      </c>
      <c r="B105" s="2" t="s">
        <v>26</v>
      </c>
      <c r="C105" s="2" t="s">
        <v>12</v>
      </c>
      <c r="D105" s="2">
        <v>20200521</v>
      </c>
      <c r="E105" s="1">
        <v>0.47638888888888892</v>
      </c>
      <c r="F105" s="2">
        <v>9.9700000000000006</v>
      </c>
      <c r="G105" s="2">
        <v>1000</v>
      </c>
      <c r="H105" s="2">
        <v>9970</v>
      </c>
      <c r="I105" s="2">
        <v>8742272</v>
      </c>
      <c r="J105" s="2">
        <v>84</v>
      </c>
      <c r="K105" s="2" t="s">
        <v>11</v>
      </c>
    </row>
    <row r="106" spans="1:11" s="2" customFormat="1">
      <c r="A106" s="4">
        <v>300498</v>
      </c>
      <c r="B106" s="2" t="s">
        <v>28</v>
      </c>
      <c r="C106" s="2" t="s">
        <v>12</v>
      </c>
      <c r="D106" s="2">
        <v>20200521</v>
      </c>
      <c r="E106" s="1">
        <v>0.54167824074074067</v>
      </c>
      <c r="F106" s="2">
        <v>27.38</v>
      </c>
      <c r="G106" s="2">
        <v>500</v>
      </c>
      <c r="H106" s="2">
        <v>13690</v>
      </c>
      <c r="I106" s="2" t="str">
        <f>"0101000015667107"</f>
        <v>0101000015667107</v>
      </c>
      <c r="J106" s="2">
        <v>87</v>
      </c>
      <c r="K106" s="2" t="str">
        <f>"0149130884"</f>
        <v>0149130884</v>
      </c>
    </row>
    <row r="107" spans="1:11" s="2" customFormat="1">
      <c r="A107" s="4" t="str">
        <f>"002044"</f>
        <v>002044</v>
      </c>
      <c r="B107" s="2" t="s">
        <v>33</v>
      </c>
      <c r="C107" s="2" t="s">
        <v>14</v>
      </c>
      <c r="D107" s="2">
        <v>20200521</v>
      </c>
      <c r="E107" s="1">
        <v>0.45341435185185186</v>
      </c>
      <c r="F107" s="2">
        <v>12.73</v>
      </c>
      <c r="G107" s="2">
        <v>600</v>
      </c>
      <c r="H107" s="2">
        <v>7638</v>
      </c>
      <c r="I107" s="2" t="str">
        <f>"0102000012425237"</f>
        <v>0102000012425237</v>
      </c>
      <c r="J107" s="2">
        <v>81</v>
      </c>
      <c r="K107" s="2" t="str">
        <f>"0149130884"</f>
        <v>0149130884</v>
      </c>
    </row>
    <row r="108" spans="1:11" s="2" customFormat="1">
      <c r="A108" s="4">
        <v>600268</v>
      </c>
      <c r="B108" s="2" t="s">
        <v>26</v>
      </c>
      <c r="C108" s="2" t="s">
        <v>12</v>
      </c>
      <c r="D108" s="2">
        <v>20200522</v>
      </c>
      <c r="E108" s="1">
        <v>0.45461805555555551</v>
      </c>
      <c r="F108" s="2">
        <v>9.15</v>
      </c>
      <c r="G108" s="2">
        <v>1000</v>
      </c>
      <c r="H108" s="2">
        <v>9150</v>
      </c>
      <c r="I108" s="2">
        <v>7434333</v>
      </c>
      <c r="J108" s="2">
        <v>93</v>
      </c>
      <c r="K108" s="2" t="s">
        <v>11</v>
      </c>
    </row>
    <row r="109" spans="1:11" s="2" customFormat="1">
      <c r="A109" s="4">
        <v>600138</v>
      </c>
      <c r="B109" s="2" t="s">
        <v>27</v>
      </c>
      <c r="C109" s="2" t="s">
        <v>12</v>
      </c>
      <c r="D109" s="2">
        <v>20200522</v>
      </c>
      <c r="E109" s="1">
        <v>0.61334490740740744</v>
      </c>
      <c r="F109" s="2">
        <v>9.49</v>
      </c>
      <c r="G109" s="2">
        <v>1000</v>
      </c>
      <c r="H109" s="2">
        <v>9490</v>
      </c>
      <c r="I109" s="2">
        <v>15891539</v>
      </c>
      <c r="J109" s="2">
        <v>96</v>
      </c>
      <c r="K109" s="2" t="s">
        <v>11</v>
      </c>
    </row>
    <row r="110" spans="1:11" s="2" customFormat="1">
      <c r="A110" s="4">
        <v>600406</v>
      </c>
      <c r="B110" s="2" t="s">
        <v>25</v>
      </c>
      <c r="C110" s="2" t="s">
        <v>12</v>
      </c>
      <c r="D110" s="2">
        <v>20200525</v>
      </c>
      <c r="E110" s="1">
        <v>0.61378472222222225</v>
      </c>
      <c r="F110" s="2">
        <v>18.600000000000001</v>
      </c>
      <c r="G110" s="2">
        <v>500</v>
      </c>
      <c r="H110" s="2">
        <v>9300</v>
      </c>
      <c r="I110" s="2">
        <v>13864170</v>
      </c>
      <c r="J110" s="2">
        <v>104</v>
      </c>
      <c r="K110" s="2" t="s">
        <v>11</v>
      </c>
    </row>
    <row r="111" spans="1:11" s="2" customFormat="1">
      <c r="A111" s="4">
        <v>600268</v>
      </c>
      <c r="B111" s="2" t="s">
        <v>26</v>
      </c>
      <c r="C111" s="2" t="s">
        <v>12</v>
      </c>
      <c r="D111" s="2">
        <v>20200525</v>
      </c>
      <c r="E111" s="1">
        <v>0.61273148148148149</v>
      </c>
      <c r="F111" s="2">
        <v>8.6</v>
      </c>
      <c r="G111" s="2">
        <v>1000</v>
      </c>
      <c r="H111" s="2">
        <v>8600</v>
      </c>
      <c r="I111" s="2">
        <v>13777236</v>
      </c>
      <c r="J111" s="2">
        <v>102</v>
      </c>
      <c r="K111" s="2" t="s">
        <v>11</v>
      </c>
    </row>
    <row r="112" spans="1:11" s="2" customFormat="1">
      <c r="A112" s="4">
        <v>600268</v>
      </c>
      <c r="B112" s="2" t="s">
        <v>26</v>
      </c>
      <c r="C112" s="2" t="s">
        <v>12</v>
      </c>
      <c r="D112" s="2">
        <v>20200527</v>
      </c>
      <c r="E112" s="1">
        <v>0.42182870370370368</v>
      </c>
      <c r="F112" s="2">
        <v>8.92</v>
      </c>
      <c r="G112" s="2">
        <v>500</v>
      </c>
      <c r="H112" s="2">
        <v>4460</v>
      </c>
      <c r="I112" s="2">
        <v>4630205</v>
      </c>
      <c r="J112" s="2">
        <v>113</v>
      </c>
      <c r="K112" s="2" t="s">
        <v>11</v>
      </c>
    </row>
    <row r="113" spans="1:11" s="2" customFormat="1">
      <c r="A113" s="4">
        <v>600268</v>
      </c>
      <c r="B113" s="2" t="s">
        <v>26</v>
      </c>
      <c r="C113" s="2" t="s">
        <v>12</v>
      </c>
      <c r="D113" s="2">
        <v>20200527</v>
      </c>
      <c r="E113" s="1">
        <v>0.42202546296296295</v>
      </c>
      <c r="F113" s="2">
        <v>8.9</v>
      </c>
      <c r="G113" s="2">
        <v>400</v>
      </c>
      <c r="H113" s="2">
        <v>3560</v>
      </c>
      <c r="I113" s="2">
        <v>4655696</v>
      </c>
      <c r="J113" s="2">
        <v>115</v>
      </c>
      <c r="K113" s="2" t="s">
        <v>11</v>
      </c>
    </row>
    <row r="114" spans="1:11" s="2" customFormat="1">
      <c r="A114" s="4">
        <v>600406</v>
      </c>
      <c r="B114" s="2" t="s">
        <v>25</v>
      </c>
      <c r="C114" s="2" t="s">
        <v>12</v>
      </c>
      <c r="D114" s="2">
        <v>20200529</v>
      </c>
      <c r="E114" s="1">
        <v>0.46541666666666665</v>
      </c>
      <c r="F114" s="2">
        <v>18.55</v>
      </c>
      <c r="G114" s="2">
        <v>500</v>
      </c>
      <c r="H114" s="2">
        <v>9275</v>
      </c>
      <c r="I114" s="2">
        <v>7783764</v>
      </c>
      <c r="J114" s="2">
        <v>122</v>
      </c>
      <c r="K114" s="2" t="s">
        <v>11</v>
      </c>
    </row>
    <row r="115" spans="1:11" s="2" customFormat="1">
      <c r="A115" s="4">
        <v>603020</v>
      </c>
      <c r="B115" s="2" t="s">
        <v>24</v>
      </c>
      <c r="C115" s="2" t="s">
        <v>12</v>
      </c>
      <c r="D115" s="2">
        <v>20200602</v>
      </c>
      <c r="E115" s="1">
        <v>0.41188657407407409</v>
      </c>
      <c r="F115" s="2">
        <v>11</v>
      </c>
      <c r="G115" s="2">
        <v>1000</v>
      </c>
      <c r="H115" s="2">
        <v>11000</v>
      </c>
      <c r="I115" s="2">
        <v>4418897</v>
      </c>
      <c r="J115" s="2">
        <v>133</v>
      </c>
      <c r="K115" s="2" t="s">
        <v>11</v>
      </c>
    </row>
    <row r="116" spans="1:11" s="2" customFormat="1">
      <c r="A116" s="4">
        <v>600268</v>
      </c>
      <c r="B116" s="2" t="s">
        <v>26</v>
      </c>
      <c r="C116" s="2" t="s">
        <v>12</v>
      </c>
      <c r="D116" s="2">
        <v>20200602</v>
      </c>
      <c r="E116" s="1">
        <v>0.61212962962962958</v>
      </c>
      <c r="F116" s="2">
        <v>8.8000000000000007</v>
      </c>
      <c r="G116" s="2">
        <v>1000</v>
      </c>
      <c r="H116" s="2">
        <v>8800</v>
      </c>
      <c r="I116" s="2">
        <v>17099704</v>
      </c>
      <c r="J116" s="2">
        <v>151</v>
      </c>
      <c r="K116" s="2" t="s">
        <v>11</v>
      </c>
    </row>
    <row r="117" spans="1:11" s="2" customFormat="1">
      <c r="A117" s="4" t="str">
        <f>"002152"</f>
        <v>002152</v>
      </c>
      <c r="B117" s="2" t="s">
        <v>31</v>
      </c>
      <c r="C117" s="2" t="s">
        <v>12</v>
      </c>
      <c r="D117" s="2">
        <v>20200602</v>
      </c>
      <c r="E117" s="1">
        <v>0.42866898148148147</v>
      </c>
      <c r="F117" s="2">
        <v>11.75</v>
      </c>
      <c r="G117" s="2">
        <v>1000</v>
      </c>
      <c r="H117" s="2">
        <v>11750</v>
      </c>
      <c r="I117" s="2" t="str">
        <f>"0104000010994185"</f>
        <v>0104000010994185</v>
      </c>
      <c r="J117" s="2">
        <v>139</v>
      </c>
      <c r="K117" s="2" t="str">
        <f>"0149130884"</f>
        <v>0149130884</v>
      </c>
    </row>
    <row r="118" spans="1:11" s="2" customFormat="1">
      <c r="A118" s="4" t="str">
        <f>"002152"</f>
        <v>002152</v>
      </c>
      <c r="B118" s="2" t="s">
        <v>31</v>
      </c>
      <c r="C118" s="2" t="s">
        <v>12</v>
      </c>
      <c r="D118" s="2">
        <v>20200602</v>
      </c>
      <c r="E118" s="1">
        <v>0.42443287037037036</v>
      </c>
      <c r="F118" s="2">
        <v>11.8</v>
      </c>
      <c r="G118" s="2">
        <v>2000</v>
      </c>
      <c r="H118" s="2">
        <v>23600</v>
      </c>
      <c r="I118" s="2" t="str">
        <f>"0104000010251382"</f>
        <v>0104000010251382</v>
      </c>
      <c r="J118" s="2">
        <v>141</v>
      </c>
      <c r="K118" s="2" t="str">
        <f>"0149130884"</f>
        <v>0149130884</v>
      </c>
    </row>
    <row r="119" spans="1:11" s="2" customFormat="1">
      <c r="A119" s="4" t="str">
        <f>"002044"</f>
        <v>002044</v>
      </c>
      <c r="B119" s="2" t="s">
        <v>33</v>
      </c>
      <c r="C119" s="2" t="s">
        <v>12</v>
      </c>
      <c r="D119" s="2">
        <v>20200602</v>
      </c>
      <c r="E119" s="1">
        <v>0.59006944444444442</v>
      </c>
      <c r="F119" s="2">
        <v>11.76</v>
      </c>
      <c r="G119" s="2">
        <v>1000</v>
      </c>
      <c r="H119" s="2">
        <v>11760</v>
      </c>
      <c r="I119" s="2" t="str">
        <f>"0101000024640486"</f>
        <v>0101000024640486</v>
      </c>
      <c r="J119" s="2">
        <v>147</v>
      </c>
      <c r="K119" s="2" t="str">
        <f>"0149130884"</f>
        <v>0149130884</v>
      </c>
    </row>
    <row r="120" spans="1:11" s="2" customFormat="1">
      <c r="A120" s="4">
        <v>603020</v>
      </c>
      <c r="B120" s="2" t="s">
        <v>24</v>
      </c>
      <c r="C120" s="2" t="s">
        <v>14</v>
      </c>
      <c r="D120" s="2">
        <v>20200604</v>
      </c>
      <c r="E120" s="1">
        <v>0.40487268518518515</v>
      </c>
      <c r="F120" s="2">
        <v>11.6</v>
      </c>
      <c r="G120" s="2">
        <v>1000</v>
      </c>
      <c r="H120" s="2">
        <v>11600</v>
      </c>
      <c r="I120" s="2">
        <v>2655828</v>
      </c>
      <c r="J120" s="2">
        <v>169</v>
      </c>
      <c r="K120" s="2" t="s">
        <v>11</v>
      </c>
    </row>
    <row r="121" spans="1:11" s="2" customFormat="1">
      <c r="A121" s="4">
        <v>600268</v>
      </c>
      <c r="B121" s="2" t="s">
        <v>26</v>
      </c>
      <c r="C121" s="2" t="s">
        <v>12</v>
      </c>
      <c r="D121" s="2">
        <v>20200604</v>
      </c>
      <c r="E121" s="1">
        <v>0.3923611111111111</v>
      </c>
      <c r="F121" s="2">
        <v>8.6300000000000008</v>
      </c>
      <c r="G121" s="2">
        <v>1000</v>
      </c>
      <c r="H121" s="2">
        <v>8630</v>
      </c>
      <c r="I121" s="2">
        <v>61354</v>
      </c>
      <c r="J121" s="2">
        <v>160</v>
      </c>
      <c r="K121" s="2" t="s">
        <v>11</v>
      </c>
    </row>
    <row r="122" spans="1:11" s="2" customFormat="1">
      <c r="A122" s="4" t="str">
        <f>"000721"</f>
        <v>000721</v>
      </c>
      <c r="B122" s="2" t="s">
        <v>34</v>
      </c>
      <c r="C122" s="2" t="s">
        <v>12</v>
      </c>
      <c r="D122" s="2">
        <v>20200604</v>
      </c>
      <c r="E122" s="1">
        <v>0.39934027777777775</v>
      </c>
      <c r="F122" s="2">
        <v>5.2</v>
      </c>
      <c r="G122" s="2">
        <v>1000</v>
      </c>
      <c r="H122" s="2">
        <v>5200</v>
      </c>
      <c r="I122" s="2" t="str">
        <f>"0104000002841058"</f>
        <v>0104000002841058</v>
      </c>
      <c r="J122" s="2">
        <v>164</v>
      </c>
      <c r="K122" s="2" t="str">
        <f>"0149130884"</f>
        <v>0149130884</v>
      </c>
    </row>
    <row r="123" spans="1:11" s="2" customFormat="1">
      <c r="A123" s="4">
        <v>600268</v>
      </c>
      <c r="B123" s="2" t="s">
        <v>26</v>
      </c>
      <c r="C123" s="2" t="s">
        <v>12</v>
      </c>
      <c r="D123" s="2">
        <v>20200605</v>
      </c>
      <c r="E123" s="1">
        <v>0.46923611111111113</v>
      </c>
      <c r="F123" s="2">
        <v>8.52</v>
      </c>
      <c r="G123" s="2">
        <v>2000</v>
      </c>
      <c r="H123" s="2">
        <v>17040</v>
      </c>
      <c r="I123" s="2">
        <v>8630945</v>
      </c>
      <c r="J123" s="2">
        <v>194</v>
      </c>
      <c r="K123" s="2" t="s">
        <v>11</v>
      </c>
    </row>
    <row r="124" spans="1:11" s="2" customFormat="1">
      <c r="A124" s="4" t="str">
        <f>"000721"</f>
        <v>000721</v>
      </c>
      <c r="B124" s="2" t="s">
        <v>34</v>
      </c>
      <c r="C124" s="2" t="s">
        <v>14</v>
      </c>
      <c r="D124" s="2">
        <v>20200605</v>
      </c>
      <c r="E124" s="1">
        <v>0.42298611111111112</v>
      </c>
      <c r="F124" s="2">
        <v>5.2</v>
      </c>
      <c r="G124" s="2">
        <v>1000</v>
      </c>
      <c r="H124" s="2">
        <v>5200</v>
      </c>
      <c r="I124" s="2" t="str">
        <f>"0104000008678216"</f>
        <v>0104000008678216</v>
      </c>
      <c r="J124" s="2">
        <v>191</v>
      </c>
      <c r="K124" s="2" t="str">
        <f>"0149130884"</f>
        <v>0149130884</v>
      </c>
    </row>
    <row r="125" spans="1:11" s="2" customFormat="1">
      <c r="A125" s="4" t="str">
        <f>"000610"</f>
        <v>000610</v>
      </c>
      <c r="B125" s="2" t="s">
        <v>35</v>
      </c>
      <c r="C125" s="2" t="s">
        <v>12</v>
      </c>
      <c r="D125" s="2">
        <v>20200605</v>
      </c>
      <c r="E125" s="1">
        <v>0.55342592592592588</v>
      </c>
      <c r="F125" s="2">
        <v>8.25</v>
      </c>
      <c r="G125" s="2">
        <v>1000</v>
      </c>
      <c r="H125" s="2">
        <v>8250</v>
      </c>
      <c r="I125" s="2" t="str">
        <f>"0102000017071182"</f>
        <v>0102000017071182</v>
      </c>
      <c r="J125" s="2">
        <v>188</v>
      </c>
      <c r="K125" s="2" t="str">
        <f>"0149130884"</f>
        <v>0149130884</v>
      </c>
    </row>
    <row r="126" spans="1:11" s="2" customFormat="1">
      <c r="A126" s="4">
        <v>600268</v>
      </c>
      <c r="B126" s="2" t="s">
        <v>26</v>
      </c>
      <c r="C126" s="2" t="s">
        <v>12</v>
      </c>
      <c r="D126" s="2">
        <v>20200608</v>
      </c>
      <c r="E126" s="1">
        <v>0.6014004629629629</v>
      </c>
      <c r="F126" s="2">
        <v>8.35</v>
      </c>
      <c r="G126" s="2">
        <v>1000</v>
      </c>
      <c r="H126" s="2">
        <v>8350</v>
      </c>
      <c r="I126" s="2">
        <v>14418806</v>
      </c>
      <c r="J126" s="2">
        <v>216</v>
      </c>
      <c r="K126" s="2" t="s">
        <v>11</v>
      </c>
    </row>
    <row r="127" spans="1:11" s="2" customFormat="1">
      <c r="A127" s="4">
        <v>600268</v>
      </c>
      <c r="B127" s="2" t="s">
        <v>26</v>
      </c>
      <c r="C127" s="2" t="s">
        <v>12</v>
      </c>
      <c r="D127" s="2">
        <v>20200608</v>
      </c>
      <c r="E127" s="1">
        <v>0.59570601851851845</v>
      </c>
      <c r="F127" s="2">
        <v>8.4</v>
      </c>
      <c r="G127" s="2">
        <v>1000</v>
      </c>
      <c r="H127" s="2">
        <v>8400</v>
      </c>
      <c r="I127" s="2">
        <v>14025026</v>
      </c>
      <c r="J127" s="2">
        <v>208</v>
      </c>
      <c r="K127" s="2" t="s">
        <v>11</v>
      </c>
    </row>
    <row r="128" spans="1:11" s="2" customFormat="1">
      <c r="A128" s="4">
        <v>300498</v>
      </c>
      <c r="B128" s="2" t="s">
        <v>28</v>
      </c>
      <c r="C128" s="2" t="s">
        <v>14</v>
      </c>
      <c r="D128" s="2">
        <v>20200608</v>
      </c>
      <c r="E128" s="1">
        <v>0.59197916666666661</v>
      </c>
      <c r="F128" s="2">
        <v>27.45</v>
      </c>
      <c r="G128" s="2">
        <v>500</v>
      </c>
      <c r="H128" s="2">
        <v>13725</v>
      </c>
      <c r="I128" s="2" t="str">
        <f>"0103000021801883"</f>
        <v>0103000021801883</v>
      </c>
      <c r="J128" s="2">
        <v>210</v>
      </c>
      <c r="K128" s="2" t="str">
        <f>"0149130884"</f>
        <v>0149130884</v>
      </c>
    </row>
    <row r="129" spans="1:11" s="2" customFormat="1">
      <c r="A129" s="4">
        <v>300498</v>
      </c>
      <c r="B129" s="2" t="s">
        <v>28</v>
      </c>
      <c r="C129" s="2" t="s">
        <v>14</v>
      </c>
      <c r="D129" s="2">
        <v>20200608</v>
      </c>
      <c r="E129" s="1">
        <v>0.61068287037037039</v>
      </c>
      <c r="F129" s="2">
        <v>27.45</v>
      </c>
      <c r="G129" s="2">
        <v>200</v>
      </c>
      <c r="H129" s="2">
        <v>5490</v>
      </c>
      <c r="I129" s="2" t="str">
        <f>"0103000023896681"</f>
        <v>0103000023896681</v>
      </c>
      <c r="J129" s="2">
        <v>219</v>
      </c>
      <c r="K129" s="2" t="str">
        <f>"0149130884"</f>
        <v>0149130884</v>
      </c>
    </row>
    <row r="130" spans="1:11" s="2" customFormat="1">
      <c r="A130" s="4">
        <v>600268</v>
      </c>
      <c r="B130" s="2" t="s">
        <v>26</v>
      </c>
      <c r="C130" s="2" t="s">
        <v>12</v>
      </c>
      <c r="D130" s="2">
        <v>20200610</v>
      </c>
      <c r="E130" s="1">
        <v>0.45005787037037037</v>
      </c>
      <c r="F130" s="2">
        <v>8.17</v>
      </c>
      <c r="G130" s="2">
        <v>1000</v>
      </c>
      <c r="H130" s="2">
        <v>8170</v>
      </c>
      <c r="I130" s="2">
        <v>7537503</v>
      </c>
      <c r="J130" s="2">
        <v>241</v>
      </c>
      <c r="K130" s="2" t="s">
        <v>11</v>
      </c>
    </row>
    <row r="131" spans="1:11" s="2" customFormat="1">
      <c r="A131" s="4">
        <v>300433</v>
      </c>
      <c r="B131" s="2" t="s">
        <v>29</v>
      </c>
      <c r="C131" s="2" t="s">
        <v>14</v>
      </c>
      <c r="D131" s="2">
        <v>20200610</v>
      </c>
      <c r="E131" s="1">
        <v>0.61114583333333339</v>
      </c>
      <c r="F131" s="2">
        <v>21.2</v>
      </c>
      <c r="G131" s="2">
        <v>1000</v>
      </c>
      <c r="H131" s="2">
        <v>21200</v>
      </c>
      <c r="I131" s="2" t="str">
        <f>"0101000023668801"</f>
        <v>0101000023668801</v>
      </c>
      <c r="J131" s="2">
        <v>248</v>
      </c>
      <c r="K131" s="2" t="str">
        <f>"0149130884"</f>
        <v>0149130884</v>
      </c>
    </row>
    <row r="132" spans="1:11" s="2" customFormat="1">
      <c r="A132" s="4">
        <v>300383</v>
      </c>
      <c r="B132" s="2" t="s">
        <v>30</v>
      </c>
      <c r="C132" s="2" t="s">
        <v>12</v>
      </c>
      <c r="D132" s="2">
        <v>20200610</v>
      </c>
      <c r="E132" s="1">
        <v>0.42077546296296298</v>
      </c>
      <c r="F132" s="2">
        <v>25</v>
      </c>
      <c r="G132" s="2">
        <v>1000</v>
      </c>
      <c r="H132" s="2">
        <v>25000</v>
      </c>
      <c r="I132" s="2" t="str">
        <f>"0102000008049556"</f>
        <v>0102000008049556</v>
      </c>
      <c r="J132" s="2">
        <v>233</v>
      </c>
      <c r="K132" s="2" t="str">
        <f>"0149130884"</f>
        <v>0149130884</v>
      </c>
    </row>
    <row r="133" spans="1:11" s="2" customFormat="1">
      <c r="A133" s="4">
        <v>600406</v>
      </c>
      <c r="B133" s="2" t="s">
        <v>25</v>
      </c>
      <c r="C133" s="2" t="s">
        <v>14</v>
      </c>
      <c r="D133" s="2">
        <v>20200612</v>
      </c>
      <c r="E133" s="1">
        <v>0.44137731481481479</v>
      </c>
      <c r="F133" s="2">
        <v>19.440000000000001</v>
      </c>
      <c r="G133" s="2">
        <v>1500</v>
      </c>
      <c r="H133" s="2">
        <v>29160</v>
      </c>
      <c r="I133" s="2">
        <v>7490595</v>
      </c>
      <c r="J133" s="2">
        <v>258</v>
      </c>
      <c r="K133" s="2" t="s">
        <v>11</v>
      </c>
    </row>
    <row r="134" spans="1:11" s="2" customFormat="1">
      <c r="A134" s="4" t="str">
        <f>"002044"</f>
        <v>002044</v>
      </c>
      <c r="B134" s="2" t="s">
        <v>33</v>
      </c>
      <c r="C134" s="2" t="s">
        <v>14</v>
      </c>
      <c r="D134" s="2">
        <v>20200617</v>
      </c>
      <c r="E134" s="1">
        <v>0.39656249999999998</v>
      </c>
      <c r="F134" s="2">
        <v>12.45</v>
      </c>
      <c r="G134" s="2">
        <v>1000</v>
      </c>
      <c r="H134" s="2">
        <v>12450</v>
      </c>
      <c r="I134" s="2" t="str">
        <f>"0102000001172215"</f>
        <v>0102000001172215</v>
      </c>
      <c r="J134" s="2">
        <v>263</v>
      </c>
      <c r="K134" s="2" t="str">
        <f>"0149130884"</f>
        <v>0149130884</v>
      </c>
    </row>
    <row r="135" spans="1:11" s="2" customFormat="1">
      <c r="A135" s="4">
        <v>300383</v>
      </c>
      <c r="B135" s="2" t="s">
        <v>30</v>
      </c>
      <c r="C135" s="2" t="s">
        <v>14</v>
      </c>
      <c r="D135" s="2">
        <v>20200622</v>
      </c>
      <c r="E135" s="1">
        <v>0.61638888888888888</v>
      </c>
      <c r="F135" s="2">
        <v>26.16</v>
      </c>
      <c r="G135" s="2">
        <v>1000</v>
      </c>
      <c r="H135" s="2">
        <v>26160</v>
      </c>
      <c r="I135" s="2" t="str">
        <f>"0102000027068594"</f>
        <v>0102000027068594</v>
      </c>
      <c r="J135" s="2">
        <v>7</v>
      </c>
      <c r="K135" s="2" t="str">
        <f>"0149130884"</f>
        <v>0149130884</v>
      </c>
    </row>
    <row r="136" spans="1:11" s="2" customFormat="1">
      <c r="A136" s="4" t="str">
        <f>"002059"</f>
        <v>002059</v>
      </c>
      <c r="B136" s="2" t="s">
        <v>32</v>
      </c>
      <c r="C136" s="2" t="s">
        <v>14</v>
      </c>
      <c r="D136" s="2">
        <v>20200629</v>
      </c>
      <c r="E136" s="1">
        <v>0.62086805555555558</v>
      </c>
      <c r="F136" s="2">
        <v>4.53</v>
      </c>
      <c r="G136" s="2">
        <v>2000</v>
      </c>
      <c r="H136" s="2">
        <v>9060</v>
      </c>
      <c r="I136" s="2" t="str">
        <f>"0101000023682171"</f>
        <v>0101000023682171</v>
      </c>
      <c r="J136" s="2">
        <v>14</v>
      </c>
      <c r="K136" s="2" t="str">
        <f>"0149130884"</f>
        <v>0149130884</v>
      </c>
    </row>
    <row r="137" spans="1:11" s="2" customFormat="1">
      <c r="A137" s="4" t="str">
        <f>"002152"</f>
        <v>002152</v>
      </c>
      <c r="B137" s="2" t="s">
        <v>31</v>
      </c>
      <c r="C137" s="2" t="s">
        <v>14</v>
      </c>
      <c r="D137" s="2">
        <v>20200630</v>
      </c>
      <c r="E137" s="1">
        <v>0.45295138888888892</v>
      </c>
      <c r="F137" s="2">
        <v>12.49</v>
      </c>
      <c r="G137" s="2">
        <v>1500</v>
      </c>
      <c r="H137" s="2">
        <v>18735</v>
      </c>
      <c r="I137" s="2" t="str">
        <f>"0101000011600342"</f>
        <v>0101000011600342</v>
      </c>
      <c r="J137" s="2">
        <v>21</v>
      </c>
      <c r="K137" s="2" t="str">
        <f>"0149130884"</f>
        <v>0149130884</v>
      </c>
    </row>
    <row r="138" spans="1:11" s="2" customFormat="1">
      <c r="A138" s="4" t="str">
        <f>"002152"</f>
        <v>002152</v>
      </c>
      <c r="B138" s="2" t="s">
        <v>31</v>
      </c>
      <c r="C138" s="2" t="s">
        <v>14</v>
      </c>
      <c r="D138" s="2">
        <v>20200630</v>
      </c>
      <c r="E138" s="1">
        <v>0.45239583333333333</v>
      </c>
      <c r="F138" s="2">
        <v>12.47</v>
      </c>
      <c r="G138" s="2">
        <v>1500</v>
      </c>
      <c r="H138" s="2">
        <v>18705</v>
      </c>
      <c r="I138" s="2" t="str">
        <f>"0101000011542701"</f>
        <v>0101000011542701</v>
      </c>
      <c r="J138" s="2">
        <v>23</v>
      </c>
      <c r="K138" s="2" t="str">
        <f>"0149130884"</f>
        <v>0149130884</v>
      </c>
    </row>
    <row r="139" spans="1:11" s="2" customFormat="1">
      <c r="A139" s="4">
        <v>600138</v>
      </c>
      <c r="B139" s="2" t="s">
        <v>27</v>
      </c>
      <c r="C139" s="2" t="s">
        <v>14</v>
      </c>
      <c r="D139" s="2">
        <v>20200702</v>
      </c>
      <c r="E139" s="1">
        <v>0.4337847222222222</v>
      </c>
      <c r="F139" s="2">
        <v>9.9700000000000006</v>
      </c>
      <c r="G139" s="2">
        <v>1600</v>
      </c>
      <c r="H139" s="2">
        <v>15952</v>
      </c>
      <c r="I139" s="2">
        <v>8599506</v>
      </c>
      <c r="J139" s="2">
        <v>31</v>
      </c>
      <c r="K139" s="2" t="s">
        <v>11</v>
      </c>
    </row>
    <row r="140" spans="1:11" s="2" customFormat="1">
      <c r="A140" s="4">
        <v>300498</v>
      </c>
      <c r="B140" s="2" t="s">
        <v>28</v>
      </c>
      <c r="C140" s="2" t="s">
        <v>14</v>
      </c>
      <c r="D140" s="2">
        <v>20200703</v>
      </c>
      <c r="E140" s="1">
        <v>0.46180555555555558</v>
      </c>
      <c r="F140" s="2">
        <v>22.73</v>
      </c>
      <c r="G140" s="2">
        <v>1200</v>
      </c>
      <c r="H140" s="2">
        <v>27276</v>
      </c>
      <c r="I140" s="2" t="str">
        <f>"0104000019463574"</f>
        <v>0104000019463574</v>
      </c>
      <c r="J140" s="2">
        <v>38</v>
      </c>
      <c r="K140" s="2" t="str">
        <f>"0149130884"</f>
        <v>0149130884</v>
      </c>
    </row>
    <row r="141" spans="1:11" s="2" customFormat="1">
      <c r="A141" s="4" t="str">
        <f>"000610"</f>
        <v>000610</v>
      </c>
      <c r="B141" s="2" t="s">
        <v>35</v>
      </c>
      <c r="C141" s="2" t="s">
        <v>14</v>
      </c>
      <c r="D141" s="2">
        <v>20200703</v>
      </c>
      <c r="E141" s="1">
        <v>0.57596064814814818</v>
      </c>
      <c r="F141" s="2">
        <v>8.2200000000000006</v>
      </c>
      <c r="G141" s="2">
        <v>2900</v>
      </c>
      <c r="H141" s="2">
        <v>23838</v>
      </c>
      <c r="I141" s="2" t="str">
        <f>"0102000026138912"</f>
        <v>0102000026138912</v>
      </c>
      <c r="J141" s="2">
        <v>40</v>
      </c>
      <c r="K141" s="2" t="str">
        <f>"0149130884"</f>
        <v>0149130884</v>
      </c>
    </row>
    <row r="142" spans="1:11" s="2" customFormat="1">
      <c r="A142" s="4">
        <v>600268</v>
      </c>
      <c r="B142" s="2" t="s">
        <v>26</v>
      </c>
      <c r="C142" s="2" t="s">
        <v>14</v>
      </c>
      <c r="D142" s="2">
        <v>20200909</v>
      </c>
      <c r="E142" s="1">
        <v>0.61793981481481486</v>
      </c>
      <c r="F142" s="2">
        <v>6.8</v>
      </c>
      <c r="G142" s="2">
        <v>14900</v>
      </c>
      <c r="H142" s="2">
        <v>101320</v>
      </c>
      <c r="I142" s="2">
        <v>21677926</v>
      </c>
      <c r="J142" s="2">
        <v>74</v>
      </c>
      <c r="K142" s="2" t="s">
        <v>11</v>
      </c>
    </row>
  </sheetData>
  <sortState xmlns:xlrd2="http://schemas.microsoft.com/office/spreadsheetml/2017/richdata2" ref="A2:K142">
    <sortCondition ref="D1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liupeizhi</dc:creator>
  <cp:lastModifiedBy>Microsoft Office User</cp:lastModifiedBy>
  <dcterms:created xsi:type="dcterms:W3CDTF">2022-03-23T13:52:59Z</dcterms:created>
  <dcterms:modified xsi:type="dcterms:W3CDTF">2022-03-24T01:09:20Z</dcterms:modified>
</cp:coreProperties>
</file>